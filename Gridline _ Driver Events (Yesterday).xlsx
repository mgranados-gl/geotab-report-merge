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Users\MichaelGranados\Downloads\"/>
    </mc:Choice>
  </mc:AlternateContent>
  <xr:revisionPtr revIDLastSave="0" documentId="13_ncr:1_{530313B0-489B-44BF-B62D-13EFA378BE5B}" xr6:coauthVersionLast="47" xr6:coauthVersionMax="47" xr10:uidLastSave="{00000000-0000-0000-0000-000000000000}"/>
  <bookViews>
    <workbookView xWindow="14145" yWindow="-16320" windowWidth="29040" windowHeight="15720" firstSheet="1" activeTab="6" xr2:uid="{00000000-000D-0000-FFFF-FFFF00000000}"/>
  </bookViews>
  <sheets>
    <sheet name="About" sheetId="10" state="veryHidden" r:id="rId1"/>
    <sheet name="Email Notification" sheetId="12" r:id="rId2"/>
    <sheet name="Summary (Time Stamps)" sheetId="13" r:id="rId3"/>
    <sheet name="Zone Events (Paste)" sheetId="14" r:id="rId4"/>
    <sheet name="Report" sheetId="3" state="hidden" r:id="rId5"/>
    <sheet name="Data1" sheetId="1" r:id="rId6"/>
    <sheet name="Data2" sheetId="15" r:id="rId7"/>
  </sheets>
  <externalReferences>
    <externalReference r:id="rId8"/>
  </externalReferences>
  <definedNames>
    <definedName name="AllData">Report!$B$7:$L$40</definedName>
    <definedName name="Slicer_Driver_Name1">#N/A</definedName>
    <definedName name="Slicer_Group1">#N/A</definedName>
  </definedNames>
  <calcPr calcId="191029"/>
  <pivotCaches>
    <pivotCache cacheId="1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4" l="1"/>
  <c r="D40" i="3"/>
  <c r="G40" i="3"/>
  <c r="F40" i="3"/>
  <c r="E40" i="3" s="1"/>
  <c r="C40" i="3"/>
  <c r="B40" i="3"/>
  <c r="M40" i="3"/>
  <c r="D39" i="3"/>
  <c r="G39" i="3"/>
  <c r="F39" i="3"/>
  <c r="E39" i="3" s="1"/>
  <c r="C39" i="3"/>
  <c r="B39" i="3"/>
  <c r="M39" i="3"/>
  <c r="D38" i="3"/>
  <c r="G38" i="3"/>
  <c r="F38" i="3"/>
  <c r="E38" i="3" s="1"/>
  <c r="C38" i="3"/>
  <c r="B38" i="3"/>
  <c r="M38" i="3"/>
  <c r="D37" i="3"/>
  <c r="G37" i="3"/>
  <c r="F37" i="3"/>
  <c r="E37" i="3" s="1"/>
  <c r="C37" i="3"/>
  <c r="B37" i="3"/>
  <c r="M37" i="3"/>
  <c r="D36" i="3"/>
  <c r="G36" i="3"/>
  <c r="F36" i="3"/>
  <c r="E36" i="3" s="1"/>
  <c r="C36" i="3"/>
  <c r="B36" i="3"/>
  <c r="M36" i="3"/>
  <c r="D35" i="3"/>
  <c r="G35" i="3"/>
  <c r="F35" i="3"/>
  <c r="E35" i="3" s="1"/>
  <c r="C35" i="3"/>
  <c r="B35" i="3"/>
  <c r="M35" i="3"/>
  <c r="D34" i="3"/>
  <c r="G34" i="3"/>
  <c r="F34" i="3"/>
  <c r="E34" i="3" s="1"/>
  <c r="C34" i="3"/>
  <c r="B34" i="3"/>
  <c r="M34" i="3"/>
  <c r="D33" i="3"/>
  <c r="G33" i="3"/>
  <c r="F33" i="3"/>
  <c r="E33" i="3" s="1"/>
  <c r="C33" i="3"/>
  <c r="B33" i="3"/>
  <c r="M33" i="3"/>
  <c r="D32" i="3"/>
  <c r="G32" i="3"/>
  <c r="F32" i="3"/>
  <c r="E32" i="3" s="1"/>
  <c r="C32" i="3"/>
  <c r="B32" i="3"/>
  <c r="M32" i="3"/>
  <c r="D31" i="3"/>
  <c r="G31" i="3"/>
  <c r="F31" i="3"/>
  <c r="E31" i="3" s="1"/>
  <c r="C31" i="3"/>
  <c r="B31" i="3"/>
  <c r="M31" i="3"/>
  <c r="D30" i="3"/>
  <c r="G30" i="3"/>
  <c r="F30" i="3"/>
  <c r="E30" i="3" s="1"/>
  <c r="C30" i="3"/>
  <c r="B30" i="3"/>
  <c r="M30" i="3"/>
  <c r="D29" i="3"/>
  <c r="G29" i="3"/>
  <c r="F29" i="3"/>
  <c r="E29" i="3" s="1"/>
  <c r="C29" i="3"/>
  <c r="B29" i="3"/>
  <c r="M29" i="3"/>
  <c r="D28" i="3"/>
  <c r="G28" i="3"/>
  <c r="F28" i="3"/>
  <c r="E28" i="3" s="1"/>
  <c r="C28" i="3"/>
  <c r="B28" i="3"/>
  <c r="M28" i="3"/>
  <c r="D27" i="3"/>
  <c r="G27" i="3"/>
  <c r="F27" i="3"/>
  <c r="E27" i="3" s="1"/>
  <c r="C27" i="3"/>
  <c r="B27" i="3"/>
  <c r="M27" i="3"/>
  <c r="D26" i="3"/>
  <c r="G26" i="3"/>
  <c r="F26" i="3"/>
  <c r="E26" i="3" s="1"/>
  <c r="C26" i="3"/>
  <c r="B26" i="3"/>
  <c r="M26" i="3"/>
  <c r="D25" i="3"/>
  <c r="G25" i="3"/>
  <c r="F25" i="3"/>
  <c r="E25" i="3" s="1"/>
  <c r="C25" i="3"/>
  <c r="B25" i="3"/>
  <c r="M25" i="3"/>
  <c r="D24" i="3"/>
  <c r="G24" i="3"/>
  <c r="F24" i="3"/>
  <c r="E24" i="3" s="1"/>
  <c r="C24" i="3"/>
  <c r="B24" i="3"/>
  <c r="M24" i="3"/>
  <c r="D23" i="3"/>
  <c r="G23" i="3"/>
  <c r="F23" i="3"/>
  <c r="E23" i="3" s="1"/>
  <c r="C23" i="3"/>
  <c r="B23" i="3"/>
  <c r="M23" i="3"/>
  <c r="D22" i="3"/>
  <c r="G22" i="3"/>
  <c r="F22" i="3"/>
  <c r="E22" i="3" s="1"/>
  <c r="C22" i="3"/>
  <c r="B22" i="3"/>
  <c r="M22" i="3"/>
  <c r="D21" i="3"/>
  <c r="G21" i="3"/>
  <c r="F21" i="3"/>
  <c r="E21" i="3" s="1"/>
  <c r="C21" i="3"/>
  <c r="B21" i="3"/>
  <c r="M21" i="3"/>
  <c r="D20" i="3"/>
  <c r="G20" i="3"/>
  <c r="F20" i="3"/>
  <c r="E20" i="3" s="1"/>
  <c r="C20" i="3"/>
  <c r="B20" i="3"/>
  <c r="M20" i="3"/>
  <c r="D19" i="3"/>
  <c r="G19" i="3"/>
  <c r="F19" i="3"/>
  <c r="E19" i="3" s="1"/>
  <c r="C19" i="3"/>
  <c r="B19" i="3"/>
  <c r="M19" i="3"/>
  <c r="D18" i="3"/>
  <c r="G18" i="3"/>
  <c r="F18" i="3"/>
  <c r="E18" i="3" s="1"/>
  <c r="C18" i="3"/>
  <c r="B18" i="3"/>
  <c r="M18" i="3"/>
  <c r="D17" i="3"/>
  <c r="G17" i="3"/>
  <c r="F17" i="3"/>
  <c r="E17" i="3" s="1"/>
  <c r="C17" i="3"/>
  <c r="B17" i="3"/>
  <c r="M17" i="3"/>
  <c r="D16" i="3"/>
  <c r="G16" i="3"/>
  <c r="F16" i="3"/>
  <c r="E16" i="3" s="1"/>
  <c r="C16" i="3"/>
  <c r="B16" i="3"/>
  <c r="M16" i="3"/>
  <c r="D15" i="3"/>
  <c r="G15" i="3"/>
  <c r="F15" i="3"/>
  <c r="E15" i="3" s="1"/>
  <c r="C15" i="3"/>
  <c r="B15" i="3"/>
  <c r="M15" i="3"/>
  <c r="D14" i="3"/>
  <c r="G14" i="3"/>
  <c r="F14" i="3"/>
  <c r="E14" i="3" s="1"/>
  <c r="C14" i="3"/>
  <c r="B14" i="3"/>
  <c r="M14" i="3"/>
  <c r="D13" i="3"/>
  <c r="G13" i="3"/>
  <c r="F13" i="3"/>
  <c r="E13" i="3" s="1"/>
  <c r="C13" i="3"/>
  <c r="B13" i="3"/>
  <c r="M13" i="3"/>
  <c r="D12" i="3"/>
  <c r="G12" i="3"/>
  <c r="F12" i="3"/>
  <c r="E12" i="3" s="1"/>
  <c r="C12" i="3"/>
  <c r="B12" i="3"/>
  <c r="M12" i="3"/>
  <c r="D11" i="3"/>
  <c r="G11" i="3"/>
  <c r="F11" i="3"/>
  <c r="E11" i="3" s="1"/>
  <c r="C11" i="3"/>
  <c r="B11" i="3"/>
  <c r="M11" i="3"/>
  <c r="D10" i="3"/>
  <c r="G10" i="3"/>
  <c r="F10" i="3"/>
  <c r="E10" i="3" s="1"/>
  <c r="C10" i="3"/>
  <c r="B10" i="3"/>
  <c r="M10" i="3"/>
  <c r="D9" i="3"/>
  <c r="G9" i="3"/>
  <c r="F9" i="3"/>
  <c r="E9" i="3" s="1"/>
  <c r="C9" i="3"/>
  <c r="B9" i="3"/>
  <c r="M9" i="3"/>
  <c r="D8" i="3"/>
  <c r="G8" i="3"/>
  <c r="F8" i="3"/>
  <c r="E8" i="3" s="1"/>
  <c r="C8" i="3"/>
  <c r="B8" i="3"/>
  <c r="M8" i="3"/>
  <c r="B4" i="3"/>
  <c r="B4" i="13"/>
  <c r="B7" i="12"/>
  <c r="H8" i="3" l="1"/>
  <c r="I8" i="3" s="1"/>
  <c r="J8" i="3" s="1"/>
  <c r="K8" i="3" s="1"/>
  <c r="L8" i="3" s="1"/>
  <c r="H20" i="3"/>
  <c r="I20" i="3" s="1"/>
  <c r="J20" i="3" s="1"/>
  <c r="K20" i="3" s="1"/>
  <c r="L20" i="3" s="1"/>
  <c r="H10" i="3"/>
  <c r="I10" i="3" s="1"/>
  <c r="J10" i="3" s="1"/>
  <c r="K10" i="3" s="1"/>
  <c r="L10" i="3" s="1"/>
  <c r="H18" i="3"/>
  <c r="I18" i="3" s="1"/>
  <c r="J18" i="3" s="1"/>
  <c r="K18" i="3" s="1"/>
  <c r="L18" i="3" s="1"/>
  <c r="H35" i="3"/>
  <c r="I35" i="3" s="1"/>
  <c r="J35" i="3" s="1"/>
  <c r="K35" i="3" s="1"/>
  <c r="L35" i="3" s="1"/>
  <c r="H25" i="3"/>
  <c r="I25" i="3" s="1"/>
  <c r="J25" i="3" s="1"/>
  <c r="K25" i="3" s="1"/>
  <c r="L25" i="3" s="1"/>
  <c r="H17" i="3"/>
  <c r="I17" i="3" s="1"/>
  <c r="J17" i="3" s="1"/>
  <c r="K17" i="3" s="1"/>
  <c r="L17" i="3" s="1"/>
  <c r="H22" i="3"/>
  <c r="I22" i="3" s="1"/>
  <c r="J22" i="3" s="1"/>
  <c r="K22" i="3" s="1"/>
  <c r="L22" i="3" s="1"/>
  <c r="H30" i="3"/>
  <c r="I30" i="3" s="1"/>
  <c r="J30" i="3" s="1"/>
  <c r="K30" i="3" s="1"/>
  <c r="L30" i="3" s="1"/>
  <c r="H27" i="3"/>
  <c r="I27" i="3" s="1"/>
  <c r="J27" i="3" s="1"/>
  <c r="K27" i="3" s="1"/>
  <c r="L27" i="3" s="1"/>
  <c r="H40" i="3"/>
  <c r="I40" i="3" s="1"/>
  <c r="J40" i="3" s="1"/>
  <c r="K40" i="3" s="1"/>
  <c r="L40" i="3" s="1"/>
  <c r="H39" i="3"/>
  <c r="I39" i="3" s="1"/>
  <c r="J39" i="3" s="1"/>
  <c r="K39" i="3" s="1"/>
  <c r="L39" i="3" s="1"/>
  <c r="H36" i="3"/>
  <c r="I36" i="3" s="1"/>
  <c r="J36" i="3" s="1"/>
  <c r="K36" i="3" s="1"/>
  <c r="L36" i="3" s="1"/>
  <c r="H34" i="3"/>
  <c r="I34" i="3" s="1"/>
  <c r="J34" i="3" s="1"/>
  <c r="K34" i="3" s="1"/>
  <c r="L34" i="3" s="1"/>
  <c r="H16" i="3"/>
  <c r="I16" i="3" s="1"/>
  <c r="J16" i="3" s="1"/>
  <c r="K16" i="3" s="1"/>
  <c r="L16" i="3" s="1"/>
  <c r="H28" i="3"/>
  <c r="I28" i="3" s="1"/>
  <c r="J28" i="3" s="1"/>
  <c r="K28" i="3" s="1"/>
  <c r="L28" i="3" s="1"/>
  <c r="H32" i="3"/>
  <c r="I32" i="3" s="1"/>
  <c r="J32" i="3" s="1"/>
  <c r="K32" i="3" s="1"/>
  <c r="L32" i="3" s="1"/>
  <c r="H38" i="3"/>
  <c r="I38" i="3" s="1"/>
  <c r="J38" i="3" s="1"/>
  <c r="K38" i="3" s="1"/>
  <c r="L38" i="3" s="1"/>
  <c r="H24" i="3"/>
  <c r="I24" i="3" s="1"/>
  <c r="J24" i="3" s="1"/>
  <c r="K24" i="3" s="1"/>
  <c r="L24" i="3" s="1"/>
  <c r="H23" i="3"/>
  <c r="I23" i="3" s="1"/>
  <c r="J23" i="3" s="1"/>
  <c r="K23" i="3" s="1"/>
  <c r="L23" i="3" s="1"/>
  <c r="H14" i="3"/>
  <c r="I14" i="3" s="1"/>
  <c r="J14" i="3" s="1"/>
  <c r="K14" i="3" s="1"/>
  <c r="L14" i="3" s="1"/>
  <c r="H19" i="3"/>
  <c r="I19" i="3" s="1"/>
  <c r="J19" i="3" s="1"/>
  <c r="K19" i="3" s="1"/>
  <c r="L19" i="3" s="1"/>
  <c r="H33" i="3"/>
  <c r="I33" i="3" s="1"/>
  <c r="J33" i="3" s="1"/>
  <c r="K33" i="3" s="1"/>
  <c r="L33" i="3" s="1"/>
  <c r="H15" i="3"/>
  <c r="I15" i="3" s="1"/>
  <c r="J15" i="3" s="1"/>
  <c r="K15" i="3" s="1"/>
  <c r="L15" i="3" s="1"/>
  <c r="H31" i="3"/>
  <c r="I31" i="3" s="1"/>
  <c r="J31" i="3" s="1"/>
  <c r="K31" i="3" s="1"/>
  <c r="L31" i="3" s="1"/>
  <c r="H11" i="3"/>
  <c r="I11" i="3" s="1"/>
  <c r="J11" i="3" s="1"/>
  <c r="K11" i="3" s="1"/>
  <c r="L11" i="3" s="1"/>
  <c r="H13" i="3"/>
  <c r="I13" i="3" s="1"/>
  <c r="J13" i="3" s="1"/>
  <c r="K13" i="3" s="1"/>
  <c r="L13" i="3" s="1"/>
  <c r="H29" i="3"/>
  <c r="I29" i="3" s="1"/>
  <c r="J29" i="3" s="1"/>
  <c r="K29" i="3" s="1"/>
  <c r="L29" i="3" s="1"/>
  <c r="H37" i="3"/>
  <c r="I37" i="3" s="1"/>
  <c r="J37" i="3" s="1"/>
  <c r="K37" i="3" s="1"/>
  <c r="L37" i="3" s="1"/>
  <c r="H9" i="3"/>
  <c r="I9" i="3" s="1"/>
  <c r="J9" i="3" s="1"/>
  <c r="K9" i="3" s="1"/>
  <c r="L9" i="3" s="1"/>
  <c r="H12" i="3"/>
  <c r="I12" i="3" s="1"/>
  <c r="J12" i="3" s="1"/>
  <c r="K12" i="3" s="1"/>
  <c r="L12" i="3" s="1"/>
  <c r="H21" i="3"/>
  <c r="I21" i="3" s="1"/>
  <c r="J21" i="3" s="1"/>
  <c r="K21" i="3" s="1"/>
  <c r="L21" i="3" s="1"/>
  <c r="H26" i="3"/>
  <c r="I26" i="3" s="1"/>
  <c r="J26" i="3" s="1"/>
  <c r="K26" i="3" s="1"/>
  <c r="L26" i="3" s="1"/>
</calcChain>
</file>

<file path=xl/sharedStrings.xml><?xml version="1.0" encoding="utf-8"?>
<sst xmlns="http://schemas.openxmlformats.org/spreadsheetml/2006/main" count="74" uniqueCount="67">
  <si>
    <t>Date</t>
  </si>
  <si>
    <t>About</t>
  </si>
  <si>
    <r>
      <t xml:space="preserve"> report configuration and notes </t>
    </r>
    <r>
      <rPr>
        <sz val="9"/>
        <color rgb="FFED8B00"/>
        <rFont val="Century Gothic"/>
        <family val="2"/>
      </rPr>
      <t>powered by GRIDLINE</t>
    </r>
  </si>
  <si>
    <t>Setup</t>
  </si>
  <si>
    <t>Recipient List(s):</t>
  </si>
  <si>
    <t>Date Range:</t>
  </si>
  <si>
    <t>Report Frequency:</t>
  </si>
  <si>
    <t>Run Date:</t>
  </si>
  <si>
    <t>Belonging To:</t>
  </si>
  <si>
    <t>Grouping Options:</t>
  </si>
  <si>
    <t>Run Report by:</t>
  </si>
  <si>
    <t>Rules:</t>
  </si>
  <si>
    <t>Editor</t>
  </si>
  <si>
    <t>Change Log</t>
  </si>
  <si>
    <t>eb</t>
  </si>
  <si>
    <t>Init</t>
  </si>
  <si>
    <t>Updated logic to account for logoff from last drive</t>
  </si>
  <si>
    <t>yesterday</t>
  </si>
  <si>
    <t>daily</t>
  </si>
  <si>
    <t>5am</t>
  </si>
  <si>
    <t>everything</t>
  </si>
  <si>
    <t>n/a</t>
  </si>
  <si>
    <t>driver</t>
  </si>
  <si>
    <t xml:space="preserve">Status: ON, Statuses: (D, INT_D), Login/logout activity, Status: OFF, </t>
  </si>
  <si>
    <t>individual</t>
  </si>
  <si>
    <t>Date/Time</t>
  </si>
  <si>
    <t>Status</t>
  </si>
  <si>
    <t>Driver Name</t>
  </si>
  <si>
    <t>Username</t>
  </si>
  <si>
    <t>Group</t>
  </si>
  <si>
    <t>Distance</t>
  </si>
  <si>
    <t>Index</t>
  </si>
  <si>
    <t>Duration</t>
  </si>
  <si>
    <t>Driver Gap Time Report</t>
  </si>
  <si>
    <r>
      <t xml:space="preserve"> duration from initial login to first qualified drive</t>
    </r>
    <r>
      <rPr>
        <sz val="9"/>
        <color rgb="FFEB8900"/>
        <rFont val="Century Gothic"/>
        <family val="2"/>
      </rPr>
      <t xml:space="preserve"> </t>
    </r>
    <r>
      <rPr>
        <b/>
        <sz val="9"/>
        <color rgb="FFEB8900"/>
        <rFont val="Century Gothic"/>
        <family val="2"/>
      </rPr>
      <t>powered by</t>
    </r>
    <r>
      <rPr>
        <sz val="9"/>
        <color rgb="FFEB8900"/>
        <rFont val="Century Gothic"/>
        <family val="2"/>
      </rPr>
      <t xml:space="preserve"> GRIDLINE</t>
    </r>
  </si>
  <si>
    <t>Start Date</t>
  </si>
  <si>
    <r>
      <t>powered by</t>
    </r>
    <r>
      <rPr>
        <sz val="9"/>
        <color rgb="FFED8B00"/>
        <rFont val="Century Gothic"/>
        <family val="2"/>
      </rPr>
      <t xml:space="preserve"> GRIDLINE</t>
    </r>
  </si>
  <si>
    <t>(Please open Excel file for details)</t>
  </si>
  <si>
    <t>San Antonio ADI</t>
  </si>
  <si>
    <t>Initial Login</t>
  </si>
  <si>
    <t xml:space="preserve"> Initial Login </t>
  </si>
  <si>
    <t>Alberto Perez</t>
  </si>
  <si>
    <t>Device</t>
  </si>
  <si>
    <t>Device Group</t>
  </si>
  <si>
    <t>First Name</t>
  </si>
  <si>
    <t>Last Name</t>
  </si>
  <si>
    <t>Driver</t>
  </si>
  <si>
    <t>Driver Group</t>
  </si>
  <si>
    <t>Rule</t>
  </si>
  <si>
    <t>Location</t>
  </si>
  <si>
    <t>Location Zone Types</t>
  </si>
  <si>
    <t>Start Time</t>
  </si>
  <si>
    <t>Extra Info</t>
  </si>
  <si>
    <t>Details</t>
  </si>
  <si>
    <t>Initial Exit</t>
  </si>
  <si>
    <t>Next On</t>
  </si>
  <si>
    <t>Final Arrival</t>
  </si>
  <si>
    <t>Last Logout</t>
  </si>
  <si>
    <t>Initial Departure (Zone)</t>
  </si>
  <si>
    <t>Final Arrival (Zone)</t>
  </si>
  <si>
    <t>Final Logout</t>
  </si>
  <si>
    <t xml:space="preserve"> Next On </t>
  </si>
  <si>
    <t>Driver Event Report</t>
  </si>
  <si>
    <t>driver log &amp; zone event Report (manual)</t>
  </si>
  <si>
    <t>Zone Events</t>
  </si>
  <si>
    <r>
      <t xml:space="preserve"> arrivals &amp; departures </t>
    </r>
    <r>
      <rPr>
        <b/>
        <sz val="9"/>
        <color rgb="FFEB8900"/>
        <rFont val="Century Gothic"/>
        <family val="2"/>
      </rPr>
      <t>powered by</t>
    </r>
    <r>
      <rPr>
        <sz val="9"/>
        <color rgb="FFEB8900"/>
        <rFont val="Century Gothic"/>
        <family val="2"/>
      </rPr>
      <t xml:space="preserve"> GRIDLINE</t>
    </r>
  </si>
  <si>
    <t>[Paste Zone Data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</si>
</sst>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164" formatCode="[$-409]_(&quot;$&quot;* #,##0_);[$-409]_(&quot;$&quot;* \(#,##0\);[$-409]_(&quot;$&quot;* &quot;-&quot;_);_(@_)"/>
    <numFmt numFmtId="165" formatCode="[$-409]_(* #,##0_);[$-409]_(* \(#,##0\);[$-409]_(* &quot;-&quot;_);_(@_)"/>
    <numFmt numFmtId="166" formatCode="[$-409]_(&quot;$&quot;* #,##0.00_);[$-409]_(&quot;$&quot;* \(#,##0.00\);[$-409]_(&quot;$&quot;* &quot;-&quot;??_);_(@_)"/>
    <numFmt numFmtId="167" formatCode="[$-409]_(* #,##0.00_);[$-409]_(* \(#,##0.00\);[$-409]_(* &quot;-&quot;??_);_(@_)"/>
    <numFmt numFmtId="168" formatCode="[$-409]dd/mm/yyyy\ h:mm:ss\ AM/PM"/>
    <numFmt numFmtId="169" formatCode="[$-409]mmm\ dd\,\ yyyy"/>
    <numFmt numFmtId="170" formatCode="[$-409]h:mm:ss\ AM/PM"/>
    <numFmt numFmtId="171" formatCode="[$-409]m/d/yy\ h:mm"/>
    <numFmt numFmtId="172" formatCode="[$-409]mm/dd/yy;@"/>
    <numFmt numFmtId="173" formatCode="[$-409]mmm\ dd\,\ yyyy\ hh:mm:ss\ AM/PM"/>
    <numFmt numFmtId="174" formatCode="[$-409][h]:mm:ss;@"/>
    <numFmt numFmtId="175" formatCode="[$-409]mmmm\ dd\,\ yyyy"/>
    <numFmt numFmtId="176" formatCode="h:mm\ AM/PM;h:mm\ AM/PM;&quot;--&quot;;@"/>
  </numFmts>
  <fonts count="44" x14ac:knownFonts="1">
    <font>
      <sz val="11"/>
      <name val="Century Gothic"/>
      <family val="2"/>
    </font>
    <font>
      <sz val="11"/>
      <color theme="1"/>
      <name val="Calibri"/>
      <family val="2"/>
      <scheme val="minor"/>
    </font>
    <font>
      <b/>
      <sz val="18"/>
      <color theme="3"/>
      <name val="Calibri Light"/>
      <family val="2"/>
      <scheme val="major"/>
    </font>
    <font>
      <b/>
      <sz val="26"/>
      <color rgb="FFED8B00"/>
      <name val="Century Gothic"/>
      <family val="2"/>
    </font>
    <font>
      <sz val="11"/>
      <color theme="0"/>
      <name val="Century Gothic"/>
      <family val="2"/>
    </font>
    <font>
      <sz val="11"/>
      <color rgb="FFED8B00"/>
      <name val="Century Gothic"/>
      <family val="2"/>
    </font>
    <font>
      <sz val="11"/>
      <color theme="3"/>
      <name val="Century Gothic"/>
      <family val="2"/>
    </font>
    <font>
      <sz val="11"/>
      <color theme="0" tint="-0.34998626667073579"/>
      <name val="Century Gothic"/>
      <family val="2"/>
    </font>
    <font>
      <sz val="11"/>
      <color theme="1"/>
      <name val="Century Gothic"/>
      <family val="2"/>
    </font>
    <font>
      <b/>
      <sz val="11"/>
      <color theme="1"/>
      <name val="Century Gothic"/>
      <family val="2"/>
    </font>
    <font>
      <sz val="11"/>
      <name val="Century Gothic"/>
      <family val="2"/>
    </font>
    <font>
      <b/>
      <sz val="11"/>
      <name val="Century Gothic"/>
      <family val="2"/>
    </font>
    <font>
      <sz val="12"/>
      <name val="Century Gothic"/>
      <family val="2"/>
    </font>
    <font>
      <b/>
      <sz val="12"/>
      <color theme="2"/>
      <name val="Century Gothic"/>
      <family val="2"/>
    </font>
    <font>
      <b/>
      <sz val="12"/>
      <name val="Century Gothic"/>
      <family val="2"/>
    </font>
    <font>
      <sz val="8"/>
      <name val="Century Gothic"/>
      <family val="2"/>
    </font>
    <font>
      <sz val="10"/>
      <color theme="1"/>
      <name val="Century Gothic"/>
      <family val="2"/>
    </font>
    <font>
      <sz val="11"/>
      <color theme="0" tint="-0.499984740745262"/>
      <name val="Century Gothic"/>
      <family val="2"/>
    </font>
    <font>
      <sz val="9"/>
      <color rgb="FFED8B00"/>
      <name val="Century Gothic"/>
      <family val="2"/>
    </font>
    <font>
      <b/>
      <sz val="11"/>
      <color rgb="FFED8B00"/>
      <name val="Calibri"/>
      <family val="2"/>
      <scheme val="minor"/>
    </font>
    <font>
      <b/>
      <sz val="10"/>
      <name val="Calibri"/>
      <family val="2"/>
      <scheme val="minor"/>
    </font>
    <font>
      <sz val="10"/>
      <name val="Calibri"/>
      <family val="2"/>
      <scheme val="minor"/>
    </font>
    <font>
      <sz val="10"/>
      <color theme="1"/>
      <name val="Calibri"/>
      <family val="2"/>
      <scheme val="minor"/>
    </font>
    <font>
      <b/>
      <sz val="26"/>
      <color rgb="FFEB8900"/>
      <name val="Century Gothic"/>
      <family val="2"/>
    </font>
    <font>
      <b/>
      <sz val="12"/>
      <color rgb="FFEB8900"/>
      <name val="Century Gothic"/>
      <family val="2"/>
    </font>
    <font>
      <sz val="9"/>
      <color rgb="FFEB8900"/>
      <name val="Century Gothic"/>
      <family val="2"/>
    </font>
    <font>
      <b/>
      <sz val="9"/>
      <color rgb="FFEB8900"/>
      <name val="Century Gothic"/>
      <family val="2"/>
    </font>
    <font>
      <sz val="11"/>
      <color rgb="FF9C0006"/>
      <name val="Century Gothic"/>
      <family val="2"/>
    </font>
    <font>
      <sz val="11"/>
      <color rgb="FFEC8C22"/>
      <name val="Century Gothic"/>
      <family val="2"/>
    </font>
    <font>
      <b/>
      <sz val="11"/>
      <color theme="0"/>
      <name val="Century Gothic"/>
      <family val="2"/>
    </font>
    <font>
      <i/>
      <sz val="11"/>
      <color rgb="FF7F7F7F"/>
      <name val="Century Gothic"/>
      <family val="2"/>
    </font>
    <font>
      <sz val="11"/>
      <color rgb="FF006100"/>
      <name val="Century Gothic"/>
      <family val="2"/>
    </font>
    <font>
      <sz val="11"/>
      <color rgb="FF3F3F76"/>
      <name val="Century Gothic"/>
      <family val="2"/>
    </font>
    <font>
      <sz val="11"/>
      <color rgb="FFFA7D00"/>
      <name val="Century Gothic"/>
      <family val="2"/>
    </font>
    <font>
      <sz val="11"/>
      <color rgb="FF9C5700"/>
      <name val="Century Gothic"/>
      <family val="2"/>
    </font>
    <font>
      <b/>
      <sz val="11"/>
      <color rgb="FF3F3F3F"/>
      <name val="Century Gothic"/>
      <family val="2"/>
    </font>
    <font>
      <sz val="11"/>
      <color rgb="FFFF0000"/>
      <name val="Century Gothic"/>
      <family val="2"/>
    </font>
    <font>
      <b/>
      <sz val="8"/>
      <name val="Century Gothic"/>
      <family val="2"/>
    </font>
    <font>
      <sz val="26"/>
      <color rgb="FFED8B00"/>
      <name val="Century Gothic"/>
      <family val="2"/>
    </font>
    <font>
      <b/>
      <sz val="9"/>
      <color rgb="FFED8B00"/>
      <name val="Century Gothic"/>
      <family val="2"/>
    </font>
    <font>
      <sz val="11"/>
      <color rgb="FF75787B"/>
      <name val="Century Gothic"/>
      <family val="2"/>
    </font>
    <font>
      <b/>
      <sz val="12"/>
      <color rgb="FF75787B"/>
      <name val="Century Gothic"/>
      <family val="2"/>
    </font>
    <font>
      <b/>
      <sz val="18"/>
      <color rgb="FFED8B00"/>
      <name val="Century Gothic"/>
      <family val="2"/>
    </font>
    <font>
      <i/>
      <sz val="9"/>
      <color rgb="FF75787B"/>
      <name val="Century Gothic"/>
      <family val="2"/>
    </font>
  </fonts>
  <fills count="34">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7"/>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9" tint="0.39997558519241921"/>
        <bgColor indexed="65"/>
      </patternFill>
    </fill>
  </fills>
  <borders count="7">
    <border>
      <left/>
      <right/>
      <top/>
      <bottom/>
      <diagonal/>
    </border>
    <border>
      <left/>
      <right/>
      <top/>
      <bottom style="medium">
        <color indexed="8"/>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4">
    <xf numFmtId="0" fontId="0" fillId="0" borderId="0" applyNumberFormat="0" applyFill="0" applyBorder="0" applyProtection="0">
      <alignment horizontal="left" vertical="center"/>
    </xf>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 fillId="0" borderId="0" applyNumberFormat="0" applyFill="0" applyBorder="0" applyAlignment="0" applyProtection="0"/>
    <xf numFmtId="167" fontId="8" fillId="0" borderId="0" applyFill="0" applyBorder="0" applyProtection="0">
      <alignment horizontal="left" vertical="center"/>
    </xf>
    <xf numFmtId="165" fontId="8" fillId="0" borderId="0" applyFill="0" applyBorder="0" applyProtection="0">
      <alignment horizontal="left" vertical="center"/>
    </xf>
    <xf numFmtId="166" fontId="8" fillId="0" borderId="0" applyFill="0" applyBorder="0" applyProtection="0">
      <alignment horizontal="left" vertical="center"/>
    </xf>
    <xf numFmtId="164" fontId="8" fillId="0" borderId="0" applyFill="0" applyBorder="0" applyProtection="0">
      <alignment horizontal="left" vertical="center"/>
    </xf>
    <xf numFmtId="9" fontId="8" fillId="0" borderId="0" applyFill="0" applyBorder="0" applyProtection="0">
      <alignment horizontal="left" vertical="center"/>
    </xf>
    <xf numFmtId="0" fontId="31" fillId="4" borderId="0" applyNumberFormat="0" applyBorder="0" applyProtection="0">
      <alignment horizontal="left" vertical="center"/>
    </xf>
    <xf numFmtId="0" fontId="27" fillId="5" borderId="0" applyNumberFormat="0" applyBorder="0" applyAlignment="0" applyProtection="0"/>
    <xf numFmtId="0" fontId="34" fillId="6" borderId="0" applyNumberFormat="0" applyBorder="0" applyProtection="0">
      <alignment horizontal="left" vertical="center"/>
    </xf>
    <xf numFmtId="0" fontId="32" fillId="7" borderId="3" applyNumberFormat="0" applyAlignment="0" applyProtection="0"/>
    <xf numFmtId="0" fontId="35" fillId="8" borderId="4" applyNumberFormat="0" applyAlignment="0" applyProtection="0"/>
    <xf numFmtId="0" fontId="28" fillId="8" borderId="0" applyNumberFormat="0" applyFill="0" applyProtection="0">
      <alignment horizontal="left" vertical="center"/>
    </xf>
    <xf numFmtId="0" fontId="33" fillId="0" borderId="5" applyNumberFormat="0" applyFill="0" applyAlignment="0" applyProtection="0"/>
    <xf numFmtId="0" fontId="29" fillId="9" borderId="6" applyNumberFormat="0" applyAlignment="0" applyProtection="0"/>
    <xf numFmtId="0" fontId="36" fillId="0" borderId="0" applyNumberFormat="0" applyFill="0" applyBorder="0" applyAlignment="0" applyProtection="0"/>
    <xf numFmtId="0" fontId="30" fillId="0" borderId="0" applyNumberFormat="0" applyFill="0" applyBorder="0" applyAlignment="0" applyProtection="0"/>
    <xf numFmtId="0" fontId="4"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4"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8" fillId="18" borderId="0" applyNumberFormat="0" applyBorder="0" applyAlignment="0" applyProtection="0"/>
    <xf numFmtId="0" fontId="4"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4"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15" fillId="3" borderId="0" applyNumberFormat="0" applyFill="0" applyBorder="0" applyProtection="0">
      <alignment horizontal="left" vertical="center"/>
    </xf>
    <xf numFmtId="173" fontId="10" fillId="0" borderId="0" applyFont="0" applyFill="0" applyBorder="0" applyAlignment="0">
      <alignment horizontal="left" vertical="center"/>
    </xf>
    <xf numFmtId="0" fontId="10" fillId="0" borderId="0" applyNumberFormat="0" applyFill="0" applyBorder="0" applyProtection="0">
      <alignment horizontal="left" vertical="center"/>
    </xf>
  </cellStyleXfs>
  <cellXfs count="63">
    <xf numFmtId="0" fontId="0" fillId="0" borderId="0" xfId="0">
      <alignment horizontal="left" vertical="center"/>
    </xf>
    <xf numFmtId="0" fontId="3" fillId="0" borderId="0" xfId="0" applyFont="1">
      <alignment horizontal="left" vertical="center"/>
    </xf>
    <xf numFmtId="0" fontId="9" fillId="0" borderId="0" xfId="0" applyFont="1">
      <alignment horizontal="left" vertical="center"/>
    </xf>
    <xf numFmtId="0" fontId="9" fillId="0" borderId="0" xfId="0" applyFont="1" applyAlignment="1">
      <alignment horizontal="left" vertical="center" wrapText="1"/>
    </xf>
    <xf numFmtId="0" fontId="17" fillId="0" borderId="0" xfId="0" applyFont="1">
      <alignment horizontal="left" vertical="center"/>
    </xf>
    <xf numFmtId="0" fontId="0" fillId="0" borderId="0" xfId="0" applyAlignment="1">
      <alignment horizontal="left" vertical="center" wrapText="1"/>
    </xf>
    <xf numFmtId="0" fontId="19" fillId="0" borderId="2" xfId="0" applyFont="1" applyBorder="1">
      <alignment horizontal="left" vertical="center"/>
    </xf>
    <xf numFmtId="0" fontId="20" fillId="0" borderId="0" xfId="0" applyFont="1">
      <alignment horizontal="left" vertical="center"/>
    </xf>
    <xf numFmtId="0" fontId="21" fillId="0" borderId="0" xfId="0" applyFont="1">
      <alignment horizontal="left" vertical="center"/>
    </xf>
    <xf numFmtId="171" fontId="21" fillId="0" borderId="0" xfId="0" applyNumberFormat="1" applyFont="1">
      <alignment horizontal="left" vertical="center"/>
    </xf>
    <xf numFmtId="0" fontId="22" fillId="0" borderId="0" xfId="0" applyFont="1">
      <alignment horizontal="left" vertical="center"/>
    </xf>
    <xf numFmtId="0" fontId="1" fillId="0" borderId="0" xfId="0" applyFont="1">
      <alignment horizontal="left" vertical="center"/>
    </xf>
    <xf numFmtId="0" fontId="1" fillId="0" borderId="0" xfId="0" applyFont="1" applyAlignment="1">
      <alignment horizontal="left" vertical="center" wrapText="1"/>
    </xf>
    <xf numFmtId="49" fontId="19" fillId="0" borderId="2" xfId="0" applyNumberFormat="1" applyFont="1" applyBorder="1" applyAlignment="1">
      <alignment horizontal="left" vertical="center" wrapText="1"/>
    </xf>
    <xf numFmtId="172" fontId="22" fillId="0" borderId="0" xfId="0" applyNumberFormat="1" applyFont="1" applyAlignment="1">
      <alignment horizontal="left" vertical="top"/>
    </xf>
    <xf numFmtId="0" fontId="21" fillId="0" borderId="0" xfId="0" applyFont="1" applyAlignment="1">
      <alignment horizontal="left" vertical="top"/>
    </xf>
    <xf numFmtId="49" fontId="22" fillId="0" borderId="0" xfId="0" applyNumberFormat="1" applyFont="1" applyAlignment="1">
      <alignment horizontal="left" vertical="top" wrapText="1"/>
    </xf>
    <xf numFmtId="0" fontId="16" fillId="0" borderId="0" xfId="0" applyFont="1">
      <alignment horizontal="left" vertical="center"/>
    </xf>
    <xf numFmtId="0" fontId="10" fillId="0" borderId="0" xfId="0" applyFont="1">
      <alignment horizontal="left" vertical="center"/>
    </xf>
    <xf numFmtId="0" fontId="5" fillId="0" borderId="0" xfId="0" applyFont="1">
      <alignment horizontal="left" vertical="center"/>
    </xf>
    <xf numFmtId="0" fontId="5" fillId="0" borderId="0" xfId="0" applyNumberFormat="1" applyFont="1">
      <alignment horizontal="left" vertical="center"/>
    </xf>
    <xf numFmtId="0" fontId="4" fillId="0" borderId="0" xfId="0" applyFont="1">
      <alignment horizontal="left" vertical="center"/>
    </xf>
    <xf numFmtId="0" fontId="6" fillId="0" borderId="0" xfId="0" applyFont="1">
      <alignment horizontal="left" vertical="center"/>
    </xf>
    <xf numFmtId="0" fontId="6" fillId="0" borderId="0" xfId="0" applyNumberFormat="1" applyFont="1">
      <alignment horizontal="left" vertical="center"/>
    </xf>
    <xf numFmtId="168" fontId="6" fillId="0" borderId="0" xfId="0" applyNumberFormat="1" applyFont="1">
      <alignment horizontal="left" vertical="center"/>
    </xf>
    <xf numFmtId="0" fontId="7" fillId="0" borderId="0" xfId="0" applyFont="1">
      <alignment horizontal="left" vertical="center"/>
    </xf>
    <xf numFmtId="0" fontId="13" fillId="0" borderId="0" xfId="0" applyFont="1">
      <alignment horizontal="left" vertical="center"/>
    </xf>
    <xf numFmtId="168" fontId="10" fillId="0" borderId="0" xfId="0" applyNumberFormat="1" applyFont="1">
      <alignment horizontal="left" vertical="center"/>
    </xf>
    <xf numFmtId="0" fontId="10" fillId="0" borderId="0" xfId="0" applyNumberFormat="1" applyFont="1">
      <alignment horizontal="left" vertical="center"/>
    </xf>
    <xf numFmtId="173" fontId="10" fillId="0" borderId="0" xfId="0" applyNumberFormat="1" applyFont="1">
      <alignment horizontal="left" vertical="center"/>
    </xf>
    <xf numFmtId="169" fontId="10" fillId="0" borderId="0" xfId="0" applyNumberFormat="1" applyFont="1">
      <alignment horizontal="left" vertical="center"/>
    </xf>
    <xf numFmtId="0" fontId="0" fillId="0" borderId="0" xfId="0" applyNumberFormat="1">
      <alignment horizontal="left" vertical="center"/>
    </xf>
    <xf numFmtId="0" fontId="12" fillId="0" borderId="0" xfId="0" applyFont="1">
      <alignment horizontal="left" vertical="center"/>
    </xf>
    <xf numFmtId="0" fontId="0" fillId="0" borderId="0" xfId="0" applyAlignment="1">
      <alignment horizontal="center" vertical="center"/>
    </xf>
    <xf numFmtId="0" fontId="23" fillId="0" borderId="0" xfId="0" applyFont="1">
      <alignment horizontal="left" vertical="center"/>
    </xf>
    <xf numFmtId="170" fontId="24" fillId="0" borderId="0" xfId="0" applyNumberFormat="1" applyFont="1">
      <alignment horizontal="left" vertical="center"/>
    </xf>
    <xf numFmtId="0" fontId="24" fillId="0" borderId="0" xfId="0" applyFont="1">
      <alignment horizontal="left" vertical="center"/>
    </xf>
    <xf numFmtId="0" fontId="15" fillId="0" borderId="0" xfId="41" applyFill="1">
      <alignment horizontal="left" vertical="center"/>
    </xf>
    <xf numFmtId="168" fontId="15" fillId="0" borderId="0" xfId="41" applyNumberFormat="1" applyFill="1">
      <alignment horizontal="left" vertical="center"/>
    </xf>
    <xf numFmtId="0" fontId="37" fillId="2" borderId="1" xfId="41" applyFont="1" applyFill="1" applyBorder="1">
      <alignment horizontal="left" vertical="center"/>
    </xf>
    <xf numFmtId="0" fontId="37" fillId="0" borderId="0" xfId="41" applyFont="1" applyFill="1">
      <alignment horizontal="left" vertical="center"/>
    </xf>
    <xf numFmtId="173" fontId="15" fillId="0" borderId="0" xfId="41" applyNumberFormat="1" applyFill="1">
      <alignment horizontal="left" vertical="center"/>
    </xf>
    <xf numFmtId="0" fontId="38" fillId="0" borderId="0" xfId="0" applyFont="1" applyAlignment="1">
      <alignment horizontal="center" vertical="center" shrinkToFit="1"/>
    </xf>
    <xf numFmtId="0" fontId="39" fillId="0" borderId="0" xfId="0" applyFont="1" applyAlignment="1">
      <alignment horizontal="center" vertical="center" shrinkToFit="1"/>
    </xf>
    <xf numFmtId="0" fontId="40" fillId="0" borderId="0" xfId="0" applyFont="1" applyAlignment="1">
      <alignment horizontal="center" vertical="center" shrinkToFit="1"/>
    </xf>
    <xf numFmtId="0" fontId="11" fillId="0" borderId="0" xfId="0" applyFont="1" applyAlignment="1">
      <alignment horizontal="center" vertical="center" shrinkToFit="1"/>
    </xf>
    <xf numFmtId="175" fontId="40" fillId="0" borderId="0" xfId="0" applyNumberFormat="1" applyFont="1" applyAlignment="1">
      <alignment horizontal="center" vertical="center" shrinkToFit="1"/>
    </xf>
    <xf numFmtId="0" fontId="10" fillId="0" borderId="0" xfId="0" applyFont="1" applyAlignment="1">
      <alignment vertical="center" shrinkToFit="1"/>
    </xf>
    <xf numFmtId="0" fontId="41" fillId="0" borderId="0" xfId="0" applyNumberFormat="1" applyFont="1" applyAlignment="1">
      <alignment horizontal="center" vertical="center" shrinkToFit="1"/>
    </xf>
    <xf numFmtId="0" fontId="42" fillId="0" borderId="0" xfId="0" applyNumberFormat="1" applyFont="1" applyAlignment="1">
      <alignment horizontal="center" vertical="center" shrinkToFit="1"/>
    </xf>
    <xf numFmtId="0" fontId="8" fillId="0" borderId="0" xfId="0" applyFont="1" applyAlignment="1">
      <alignment vertical="center" shrinkToFit="1"/>
    </xf>
    <xf numFmtId="0" fontId="43" fillId="0" borderId="0" xfId="0" applyFont="1" applyAlignment="1">
      <alignment horizontal="center" vertical="center" shrinkToFit="1"/>
    </xf>
    <xf numFmtId="174" fontId="15" fillId="0" borderId="0" xfId="41" applyNumberFormat="1" applyFill="1">
      <alignment horizontal="left" vertical="center"/>
    </xf>
    <xf numFmtId="174" fontId="37" fillId="2" borderId="1" xfId="41" applyNumberFormat="1" applyFont="1" applyFill="1" applyBorder="1">
      <alignment horizontal="left" vertical="center"/>
    </xf>
    <xf numFmtId="0" fontId="23" fillId="0" borderId="0" xfId="43" applyFont="1">
      <alignment horizontal="left" vertical="center"/>
    </xf>
    <xf numFmtId="0" fontId="11" fillId="0" borderId="0" xfId="43" applyFont="1">
      <alignment horizontal="left" vertical="center"/>
    </xf>
    <xf numFmtId="0" fontId="10" fillId="0" borderId="0" xfId="43">
      <alignment horizontal="left" vertical="center"/>
    </xf>
    <xf numFmtId="0" fontId="10" fillId="0" borderId="0" xfId="43" quotePrefix="1">
      <alignment horizontal="left" vertical="center"/>
    </xf>
    <xf numFmtId="176" fontId="0" fillId="0" borderId="0" xfId="0" applyNumberFormat="1" applyAlignment="1">
      <alignment horizontal="center" vertical="center"/>
    </xf>
    <xf numFmtId="0" fontId="14" fillId="0" borderId="0" xfId="0" applyFont="1">
      <alignment horizontal="left" vertical="center"/>
    </xf>
    <xf numFmtId="0" fontId="14" fillId="0" borderId="0" xfId="0" pivotButton="1" applyFont="1" applyAlignment="1">
      <alignment horizontal="left"/>
    </xf>
    <xf numFmtId="0" fontId="14" fillId="0" borderId="0" xfId="0" applyFont="1" applyAlignment="1">
      <alignment horizontal="center" wrapText="1"/>
    </xf>
    <xf numFmtId="0" fontId="0" fillId="0" borderId="0" xfId="43" applyFont="1">
      <alignment horizontal="left"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35" builtinId="46" customBuiltin="1"/>
    <cellStyle name="20% - Accent6" xfId="39" builtinId="50" customBuiltin="1"/>
    <cellStyle name="40% - Accent1" xfId="26" builtinId="31" customBuiltin="1"/>
    <cellStyle name="40% - Accent2" xfId="29" builtinId="35" customBuiltin="1"/>
    <cellStyle name="40% - Accent3" xfId="5" builtinId="39" customBuiltin="1"/>
    <cellStyle name="40% - Accent4" xfId="33" builtinId="43" customBuiltin="1"/>
    <cellStyle name="40% - Accent5" xfId="36" builtinId="47" customBuiltin="1"/>
    <cellStyle name="40% - Accent6" xfId="40" builtinId="51" customBuiltin="1"/>
    <cellStyle name="60% - Accent1" xfId="27" builtinId="32" customBuiltin="1"/>
    <cellStyle name="60% - Accent2" xfId="30" builtinId="36" customBuiltin="1"/>
    <cellStyle name="60% - Accent3" xfId="6" builtinId="40" customBuiltin="1"/>
    <cellStyle name="60% - Accent4" xfId="7" builtinId="44" customBuiltin="1"/>
    <cellStyle name="60% - Accent5" xfId="37" builtinId="48" customBuiltin="1"/>
    <cellStyle name="60% - Accent6" xfId="8" builtinId="52" customBuiltin="1"/>
    <cellStyle name="Accent1" xfId="25" builtinId="29" customBuiltin="1"/>
    <cellStyle name="Accent2" xfId="28" builtinId="33" customBuiltin="1"/>
    <cellStyle name="Accent3" xfId="31" builtinId="37" customBuiltin="1"/>
    <cellStyle name="Accent4" xfId="32" builtinId="41" customBuiltin="1"/>
    <cellStyle name="Accent5" xfId="34" builtinId="45" customBuiltin="1"/>
    <cellStyle name="Accent6" xfId="38" builtinId="49" customBuiltin="1"/>
    <cellStyle name="Bad" xfId="16" builtinId="27" customBuiltin="1"/>
    <cellStyle name="Calculation" xfId="20" builtinId="22" customBuiltin="1"/>
    <cellStyle name="Check Cell" xfId="22" builtinId="23" customBuiltin="1"/>
    <cellStyle name="Comma" xfId="10" builtinId="3" customBuiltin="1"/>
    <cellStyle name="Comma [0]" xfId="11" builtinId="6" customBuiltin="1"/>
    <cellStyle name="Currency" xfId="12" builtinId="4" customBuiltin="1"/>
    <cellStyle name="Currency [0]" xfId="13" builtinId="7" customBuiltin="1"/>
    <cellStyle name="Data (Body" xfId="41" xr:uid="{1A0FB26E-41BF-4B29-AD22-AA11BD59923E}"/>
    <cellStyle name="Date" xfId="42" xr:uid="{AF20FF08-B657-4125-8622-51C0F1CA3339}"/>
    <cellStyle name="Explanatory Text" xfId="24" builtinId="53" customBuiltin="1"/>
    <cellStyle name="Good" xfId="15" builtinId="26" customBuiltin="1"/>
    <cellStyle name="Input" xfId="18" builtinId="20" customBuiltin="1"/>
    <cellStyle name="Linked Cell" xfId="21" builtinId="24" customBuiltin="1"/>
    <cellStyle name="Neutral" xfId="17" builtinId="28" customBuiltin="1"/>
    <cellStyle name="Normal" xfId="0" builtinId="0" customBuiltin="1"/>
    <cellStyle name="Normal 2" xfId="43" xr:uid="{5A241DA0-F7A9-4CF8-A80E-FE5B0C7EE3EA}"/>
    <cellStyle name="Output" xfId="19" builtinId="21" customBuiltin="1"/>
    <cellStyle name="Percent" xfId="14" builtinId="5" customBuiltin="1"/>
    <cellStyle name="Title" xfId="9" builtinId="15" customBuiltin="1"/>
    <cellStyle name="Warning Text" xfId="23" builtinId="11" customBuiltin="1"/>
  </cellStyles>
  <dxfs count="59">
    <dxf>
      <numFmt numFmtId="176" formatCode="h:mm\ AM/PM;h:mm\ AM/PM;&quot;--&quot;;@"/>
    </dxf>
    <dxf>
      <numFmt numFmtId="176" formatCode="h:mm\ AM/PM;h:mm\ AM/PM;&quot;--&quot;;@"/>
    </dxf>
    <dxf>
      <numFmt numFmtId="176" formatCode="h:mm\ AM/PM;h:mm\ AM/PM;&quot;--&quot;;@"/>
    </dxf>
    <dxf>
      <numFmt numFmtId="176" formatCode="h:mm\ AM/PM;h:mm\ AM/PM;&quot;--&quot;;@"/>
    </dxf>
    <dxf>
      <numFmt numFmtId="176" formatCode="h:mm\ AM/PM;h:mm\ AM/PM;&quot;--&quot;;@"/>
    </dxf>
    <dxf>
      <alignment horizontal="center"/>
    </dxf>
    <dxf>
      <font>
        <b/>
      </font>
    </dxf>
    <dxf>
      <font>
        <b/>
      </font>
    </dxf>
    <dxf>
      <font>
        <b/>
      </font>
    </dxf>
    <dxf>
      <font>
        <sz val="12"/>
      </font>
    </dxf>
    <dxf>
      <font>
        <sz val="12"/>
      </font>
    </dxf>
    <dxf>
      <font>
        <sz val="12"/>
      </font>
    </dxf>
    <dxf>
      <alignment wrapText="1"/>
    </dxf>
    <dxf>
      <alignment vertical="bottom"/>
    </dxf>
    <dxf>
      <alignment vertical="bottom"/>
    </dxf>
    <dxf>
      <alignment vertical="bottom"/>
    </dxf>
    <dxf>
      <alignment horizontal="left" vertical="center" textRotation="0" wrapText="0" indent="0" justifyLastLine="0" shrinkToFit="0" readingOrder="0"/>
    </dxf>
    <dxf>
      <font>
        <b val="0"/>
        <i val="0"/>
        <strike val="0"/>
        <condense val="0"/>
        <extend val="0"/>
        <outline val="0"/>
        <shadow val="0"/>
        <u val="none"/>
        <vertAlign val="baseline"/>
        <sz val="11"/>
        <color auto="1"/>
        <name val="Century Gothic"/>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auto="1"/>
        <name val="Century Gothic"/>
        <family val="2"/>
        <scheme val="none"/>
      </font>
      <numFmt numFmtId="173" formatCode="[$-409]mmm\ dd\,\ yyyy\ hh:mm:ss\ AM/PM"/>
    </dxf>
    <dxf>
      <font>
        <b val="0"/>
        <i val="0"/>
        <strike val="0"/>
        <condense val="0"/>
        <extend val="0"/>
        <outline val="0"/>
        <shadow val="0"/>
        <u val="none"/>
        <vertAlign val="baseline"/>
        <sz val="11"/>
        <color auto="1"/>
        <name val="Century Gothic"/>
        <family val="2"/>
        <scheme val="none"/>
      </font>
      <numFmt numFmtId="173" formatCode="[$-409]mmm\ dd\,\ yyyy\ hh:mm:ss\ AM/PM"/>
    </dxf>
    <dxf>
      <font>
        <b val="0"/>
        <i val="0"/>
        <strike val="0"/>
        <condense val="0"/>
        <extend val="0"/>
        <outline val="0"/>
        <shadow val="0"/>
        <u val="none"/>
        <vertAlign val="baseline"/>
        <sz val="11"/>
        <color auto="1"/>
        <name val="Century Gothic"/>
        <family val="2"/>
        <scheme val="none"/>
      </font>
      <numFmt numFmtId="173" formatCode="[$-409]mmm\ dd\,\ yyyy\ hh:mm:ss\ AM/PM"/>
    </dxf>
    <dxf>
      <font>
        <b val="0"/>
        <i val="0"/>
        <strike val="0"/>
        <condense val="0"/>
        <extend val="0"/>
        <outline val="0"/>
        <shadow val="0"/>
        <u val="none"/>
        <vertAlign val="baseline"/>
        <sz val="11"/>
        <color auto="1"/>
        <name val="Century Gothic"/>
        <family val="2"/>
        <scheme val="none"/>
      </font>
      <numFmt numFmtId="173" formatCode="[$-409]mmm\ dd\,\ yyyy\ hh:mm:ss\ AM/PM"/>
    </dxf>
    <dxf>
      <font>
        <b val="0"/>
        <i val="0"/>
        <strike val="0"/>
        <condense val="0"/>
        <extend val="0"/>
        <outline val="0"/>
        <shadow val="0"/>
        <u val="none"/>
        <vertAlign val="baseline"/>
        <sz val="11"/>
        <color auto="1"/>
        <name val="Century Gothic"/>
        <family val="2"/>
        <scheme val="none"/>
      </font>
      <numFmt numFmtId="173" formatCode="[$-409]mmm\ dd\,\ yyyy\ hh:mm:ss\ AM/PM"/>
      <alignment horizontal="left" vertical="center" textRotation="0" wrapText="0" indent="0" justifyLastLine="0" shrinkToFit="0" readingOrder="0"/>
    </dxf>
    <dxf>
      <font>
        <b val="0"/>
        <i val="0"/>
        <strike val="0"/>
        <condense val="0"/>
        <extend val="0"/>
        <outline val="0"/>
        <shadow val="0"/>
        <u val="none"/>
        <vertAlign val="baseline"/>
        <sz val="11"/>
        <color auto="1"/>
        <name val="Century Gothic"/>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entury Gothic"/>
        <family val="2"/>
        <scheme val="none"/>
      </font>
      <numFmt numFmtId="173" formatCode="[$-409]mmm\ dd\,\ yyyy\ hh:mm:ss\ AM/PM"/>
      <alignment horizontal="left" vertical="center" textRotation="0" wrapText="0" indent="0" justifyLastLine="0" shrinkToFit="0" readingOrder="0"/>
    </dxf>
    <dxf>
      <font>
        <b val="0"/>
        <i val="0"/>
        <strike val="0"/>
        <condense val="0"/>
        <extend val="0"/>
        <outline val="0"/>
        <shadow val="0"/>
        <u val="none"/>
        <vertAlign val="baseline"/>
        <sz val="11"/>
        <color auto="1"/>
        <name val="Century Gothic"/>
        <family val="2"/>
        <scheme val="none"/>
      </font>
      <numFmt numFmtId="169" formatCode="[$-409]mmm\ dd\,\ yyyy"/>
      <alignment horizontal="left" vertical="center" textRotation="0" wrapText="0" indent="0" justifyLastLine="0" shrinkToFit="0" readingOrder="0"/>
    </dxf>
    <dxf>
      <font>
        <b val="0"/>
        <i val="0"/>
        <strike val="0"/>
        <condense val="0"/>
        <extend val="0"/>
        <outline val="0"/>
        <shadow val="0"/>
        <u val="none"/>
        <vertAlign val="baseline"/>
        <sz val="11"/>
        <color auto="1"/>
        <name val="Century Gothic"/>
        <family val="2"/>
        <scheme val="none"/>
      </font>
      <numFmt numFmtId="173" formatCode="[$-409]mmm\ dd\,\ yyyy\ hh:mm:ss\ AM/PM"/>
      <alignment horizontal="left" vertical="center" textRotation="0" wrapText="0" indent="0" justifyLastLine="0" shrinkToFit="0" readingOrder="0"/>
    </dxf>
    <dxf>
      <font>
        <b val="0"/>
        <i val="0"/>
        <strike val="0"/>
        <condense val="0"/>
        <extend val="0"/>
        <outline val="0"/>
        <shadow val="0"/>
        <u val="none"/>
        <vertAlign val="baseline"/>
        <sz val="11"/>
        <color auto="1"/>
        <name val="Century Gothic"/>
        <family val="2"/>
        <scheme val="none"/>
      </font>
      <numFmt numFmtId="177" formatCode="[$-409]General"/>
      <alignment horizontal="left" vertical="center" textRotation="0" wrapText="0" indent="0" justifyLastLine="0" shrinkToFit="0" readingOrder="0"/>
    </dxf>
    <dxf>
      <font>
        <b val="0"/>
        <i val="0"/>
        <strike val="0"/>
        <condense val="0"/>
        <extend val="0"/>
        <outline val="0"/>
        <shadow val="0"/>
        <u val="none"/>
        <vertAlign val="baseline"/>
        <sz val="11"/>
        <color auto="1"/>
        <name val="Century Gothic"/>
        <family val="2"/>
        <scheme val="none"/>
      </font>
      <numFmt numFmtId="177" formatCode="[$-409]General"/>
      <alignment horizontal="left" vertical="center" textRotation="0" wrapText="0" indent="0" justifyLastLine="0" shrinkToFit="0" readingOrder="0"/>
    </dxf>
    <dxf>
      <font>
        <b val="0"/>
        <i val="0"/>
        <strike val="0"/>
        <condense val="0"/>
        <extend val="0"/>
        <outline val="0"/>
        <shadow val="0"/>
        <u val="none"/>
        <vertAlign val="baseline"/>
        <sz val="11"/>
        <color auto="1"/>
        <name val="Century Gothic"/>
        <family val="2"/>
        <scheme val="none"/>
      </font>
      <alignment horizontal="left" vertical="center" textRotation="0" wrapText="0" indent="0" justifyLastLine="0" shrinkToFit="0" readingOrder="0"/>
    </dxf>
    <dxf>
      <font>
        <strike val="0"/>
        <outline val="0"/>
        <shadow val="0"/>
        <u val="none"/>
        <vertAlign val="baseline"/>
        <sz val="12"/>
        <color rgb="FFEB8900"/>
        <name val="Century Gothic"/>
        <family val="2"/>
        <scheme val="none"/>
      </font>
      <alignment horizontal="left" vertical="center" textRotation="0" wrapText="0" indent="0" justifyLastLine="0" shrinkToFit="0" readingOrder="0"/>
    </dxf>
    <dxf>
      <font>
        <b/>
        <strike val="0"/>
        <outline val="0"/>
        <shadow val="0"/>
        <u val="none"/>
        <vertAlign val="baseline"/>
        <sz val="12"/>
        <color auto="1"/>
        <name val="Century Gothic"/>
        <family val="2"/>
        <scheme val="none"/>
      </font>
    </dxf>
    <dxf>
      <alignment vertical="bottom"/>
    </dxf>
    <dxf>
      <alignment vertical="bottom"/>
    </dxf>
    <dxf>
      <alignment vertical="bottom"/>
    </dxf>
    <dxf>
      <alignment wrapText="1"/>
    </dxf>
    <dxf>
      <font>
        <sz val="12"/>
      </font>
    </dxf>
    <dxf>
      <font>
        <sz val="12"/>
      </font>
    </dxf>
    <dxf>
      <font>
        <sz val="12"/>
      </font>
    </dxf>
    <dxf>
      <font>
        <b/>
      </font>
    </dxf>
    <dxf>
      <font>
        <b/>
      </font>
    </dxf>
    <dxf>
      <font>
        <b/>
      </font>
    </dxf>
    <dxf>
      <alignment horizontal="center"/>
    </dxf>
    <dxf>
      <numFmt numFmtId="176" formatCode="h:mm\ AM/PM;h:mm\ AM/PM;&quot;--&quot;;@"/>
    </dxf>
    <dxf>
      <numFmt numFmtId="176" formatCode="h:mm\ AM/PM;h:mm\ AM/PM;&quot;--&quot;;@"/>
    </dxf>
    <dxf>
      <numFmt numFmtId="176" formatCode="h:mm\ AM/PM;h:mm\ AM/PM;&quot;--&quot;;@"/>
    </dxf>
    <dxf>
      <numFmt numFmtId="176" formatCode="h:mm\ AM/PM;h:mm\ AM/PM;&quot;--&quot;;@"/>
    </dxf>
    <dxf>
      <numFmt numFmtId="176" formatCode="h:mm\ AM/PM;h:mm\ AM/PM;&quot;--&quot;;@"/>
    </dxf>
    <dxf>
      <font>
        <b val="0"/>
        <i val="0"/>
        <color rgb="FFEC8C22"/>
      </font>
      <border diagonalUp="0" diagonalDown="0">
        <left/>
        <right/>
        <top style="thin">
          <color rgb="FF9A9A9A"/>
        </top>
        <bottom/>
        <vertical/>
        <horizontal/>
      </border>
    </dxf>
    <dxf>
      <font>
        <b val="0"/>
        <i val="0"/>
        <color rgb="FFEC8C22"/>
      </font>
      <border diagonalUp="0" diagonalDown="0">
        <left/>
        <right/>
        <top/>
        <bottom style="thin">
          <color rgb="FF9A9A9A"/>
        </bottom>
        <vertical/>
        <horizontal/>
      </border>
    </dxf>
    <dxf>
      <font>
        <b val="0"/>
        <i val="0"/>
        <color auto="1"/>
      </font>
      <fill>
        <patternFill>
          <bgColor theme="0"/>
        </patternFill>
      </fill>
      <border>
        <top style="thin">
          <color rgb="FF9C9C9C"/>
        </top>
        <bottom style="thin">
          <color rgb="FF9C9C9C"/>
        </bottom>
        <horizontal style="thin">
          <color rgb="FFF1F2F2"/>
        </horizontal>
      </border>
    </dxf>
    <dxf>
      <font>
        <b/>
        <i val="0"/>
        <sz val="12"/>
        <color theme="1"/>
        <name val="Century Gothic"/>
        <family val="2"/>
        <scheme val="none"/>
      </font>
      <fill>
        <patternFill>
          <bgColor theme="0"/>
        </patternFill>
      </fill>
    </dxf>
    <dxf>
      <font>
        <b val="0"/>
        <i val="0"/>
        <sz val="11"/>
        <color theme="1"/>
        <name val="Century Gothic"/>
        <family val="2"/>
        <scheme val="none"/>
      </font>
      <fill>
        <patternFill>
          <bgColor theme="0"/>
        </patternFill>
      </fill>
      <border>
        <left style="thin">
          <color rgb="FF9A9A9A"/>
        </left>
        <right style="thin">
          <color rgb="FF9A9A9A"/>
        </right>
        <top style="thin">
          <color rgb="FF9A9A9A"/>
        </top>
        <bottom style="thin">
          <color rgb="FF9A9A9A"/>
        </bottom>
      </border>
    </dxf>
    <dxf>
      <fill>
        <patternFill>
          <bgColor rgb="FFFFBA5B"/>
        </patternFill>
      </fill>
    </dxf>
    <dxf>
      <fill>
        <patternFill>
          <bgColor rgb="FFFFD091"/>
        </patternFill>
      </fill>
    </dxf>
    <dxf>
      <fill>
        <patternFill>
          <bgColor rgb="FFFFE8CF"/>
        </patternFill>
      </fill>
    </dxf>
    <dxf>
      <font>
        <b val="0"/>
        <i val="0"/>
        <color rgb="FFEB8900"/>
      </font>
      <border>
        <top style="thin">
          <color rgb="FF9A9A9A"/>
        </top>
        <bottom/>
        <horizontal/>
      </border>
    </dxf>
    <dxf>
      <font>
        <color rgb="FFEB8900"/>
      </font>
      <border>
        <left/>
        <right/>
        <top/>
        <bottom style="thin">
          <color rgb="FF9C9C9C"/>
        </bottom>
        <vertical/>
        <horizontal/>
      </border>
    </dxf>
    <dxf>
      <fill>
        <patternFill>
          <bgColor theme="0"/>
        </patternFill>
      </fill>
      <border>
        <top style="thin">
          <color rgb="FF9C9C9C"/>
        </top>
        <bottom style="thin">
          <color rgb="FF9C9C9C"/>
        </bottom>
        <horizontal style="thin">
          <color rgb="FFE3E4E5"/>
        </horizontal>
      </border>
    </dxf>
  </dxfs>
  <tableStyles count="3" defaultTableStyle="TableStyleMedium9" defaultPivotStyle="Gridline Pivot (09_2024)">
    <tableStyle name="Gridline Pivot (09_2024)" table="0" count="6" xr9:uid="{B1FEBA57-315D-42AD-90D8-25FDF45A5B9E}">
      <tableStyleElement type="wholeTable" dxfId="58"/>
      <tableStyleElement type="headerRow" dxfId="57"/>
      <tableStyleElement type="totalRow" dxfId="56"/>
      <tableStyleElement type="firstSubtotalRow" dxfId="55"/>
      <tableStyleElement type="secondSubtotalRow" dxfId="54"/>
      <tableStyleElement type="thirdSubtotalRow" dxfId="53"/>
    </tableStyle>
    <tableStyle name="Gridline Slicer 2" pivot="0" table="0" count="10" xr9:uid="{4927D134-0DF4-4450-BE92-73218A5C030B}">
      <tableStyleElement type="wholeTable" dxfId="52"/>
      <tableStyleElement type="headerRow" dxfId="51"/>
    </tableStyle>
    <tableStyle name="Gridline Table" pivot="0" count="3" xr9:uid="{8760BDBA-1EF2-4152-B348-A7CB891FC053}">
      <tableStyleElement type="wholeTable" dxfId="50"/>
      <tableStyleElement type="headerRow" dxfId="49"/>
      <tableStyleElement type="totalRow" dxfId="48"/>
    </tableStyle>
  </tableStyles>
  <colors>
    <mruColors>
      <color rgb="FFEB8900"/>
      <color rgb="FF9C9C9C"/>
      <color rgb="FFF1F2F2"/>
    </mruColors>
  </colors>
  <extLst>
    <ext xmlns:x14="http://schemas.microsoft.com/office/spreadsheetml/2009/9/main" uri="{46F421CA-312F-682f-3DD2-61675219B42D}">
      <x14:dxfs count="8">
        <dxf>
          <font>
            <b val="0"/>
            <i val="0"/>
            <strike/>
            <sz val="11"/>
            <color rgb="FF9C9C9C"/>
            <name val="Century Gothic"/>
            <family val="2"/>
          </font>
          <fill>
            <patternFill>
              <bgColor theme="0"/>
            </patternFill>
          </fill>
          <border>
            <left style="thin">
              <color rgb="FF9C9C9C"/>
            </left>
            <right style="thin">
              <color rgb="FF9C9C9C"/>
            </right>
            <top style="thin">
              <color rgb="FF9C9C9C"/>
            </top>
            <bottom style="thin">
              <color rgb="FF9C9C9C"/>
            </bottom>
          </border>
        </dxf>
        <dxf>
          <font>
            <b val="0"/>
            <i val="0"/>
            <strike/>
            <sz val="11"/>
            <color rgb="FF9C9C9C"/>
            <name val="Century Gothic"/>
            <family val="2"/>
            <scheme val="none"/>
          </font>
          <fill>
            <patternFill>
              <bgColor theme="0"/>
            </patternFill>
          </fill>
          <border>
            <left style="thin">
              <color rgb="FF9A9A9A"/>
            </left>
            <right style="thin">
              <color rgb="FF9A9A9A"/>
            </right>
            <top style="thin">
              <color rgb="FF9A9A9A"/>
            </top>
            <bottom style="thin">
              <color rgb="FF9A9A9A"/>
            </bottom>
          </border>
        </dxf>
        <dxf>
          <font>
            <b val="0"/>
            <i val="0"/>
            <sz val="11"/>
            <name val="Century Gothic"/>
            <family val="2"/>
          </font>
          <fill>
            <patternFill>
              <bgColor rgb="FFED8B00"/>
            </patternFill>
          </fill>
          <border>
            <left style="thin">
              <color rgb="FF9C9C9C"/>
            </left>
            <right style="thin">
              <color rgb="FF9C9C9C"/>
            </right>
            <top style="thin">
              <color rgb="FF9C9C9C"/>
            </top>
            <bottom style="thin">
              <color rgb="FF9C9C9C"/>
            </bottom>
          </border>
        </dxf>
        <dxf>
          <font>
            <b val="0"/>
            <i val="0"/>
            <sz val="11"/>
            <name val="Century Gothic"/>
            <family val="2"/>
          </font>
          <fill>
            <patternFill>
              <bgColor rgb="FFFFD091"/>
            </patternFill>
          </fill>
          <border>
            <left style="thin">
              <color rgb="FF9C9C9C"/>
            </left>
            <right style="thin">
              <color rgb="FF9C9C9C"/>
            </right>
            <top style="thin">
              <color rgb="FF9C9C9C"/>
            </top>
            <bottom style="thin">
              <color rgb="FF9C9C9C"/>
            </bottom>
          </border>
        </dxf>
        <dxf>
          <font>
            <b val="0"/>
            <i val="0"/>
            <strike/>
            <sz val="11"/>
            <color rgb="FF9C9C9C"/>
            <name val="Century Gothic"/>
            <family val="2"/>
          </font>
          <fill>
            <patternFill>
              <bgColor theme="0"/>
            </patternFill>
          </fill>
          <border>
            <left style="thin">
              <color rgb="FF9C9C9C"/>
            </left>
            <right style="thin">
              <color rgb="FF9C9C9C"/>
            </right>
            <top style="thin">
              <color rgb="FF9C9C9C"/>
            </top>
            <bottom style="thin">
              <color rgb="FF9C9C9C"/>
            </bottom>
          </border>
        </dxf>
        <dxf>
          <font>
            <sz val="11"/>
            <color theme="1"/>
            <name val="Century Gothic"/>
            <family val="2"/>
            <scheme val="none"/>
          </font>
          <fill>
            <patternFill>
              <bgColor rgb="FFED8B00"/>
            </patternFill>
          </fill>
          <border>
            <left style="thin">
              <color rgb="FF9A9A9A"/>
            </left>
            <right style="thin">
              <color rgb="FF9A9A9A"/>
            </right>
            <top style="thin">
              <color rgb="FF9A9A9A"/>
            </top>
            <bottom style="thin">
              <color rgb="FF9A9A9A"/>
            </bottom>
          </border>
        </dxf>
        <dxf>
          <font>
            <b val="0"/>
            <i val="0"/>
            <strike/>
            <sz val="11"/>
            <color rgb="FF9C9C9C"/>
            <name val="Century Gothic"/>
            <family val="2"/>
          </font>
          <fill>
            <patternFill>
              <bgColor theme="0"/>
            </patternFill>
          </fill>
          <border>
            <left style="thin">
              <color rgb="FF9C9C9C"/>
            </left>
            <right style="thin">
              <color rgb="FF9C9C9C"/>
            </right>
            <top style="thin">
              <color rgb="FF9C9C9C"/>
            </top>
            <bottom style="thin">
              <color rgb="FF9C9C9C"/>
            </bottom>
          </border>
        </dxf>
        <dxf>
          <font>
            <b val="0"/>
            <i val="0"/>
            <sz val="11"/>
            <color auto="1"/>
            <name val="Century Gothic"/>
            <family val="2"/>
            <scheme val="none"/>
          </font>
          <fill>
            <patternFill>
              <bgColor theme="0"/>
            </patternFill>
          </fill>
          <border>
            <left style="thin">
              <color rgb="FF9C9C9C"/>
            </left>
            <right style="thin">
              <color rgb="FF9C9C9C"/>
            </right>
            <top style="thin">
              <color rgb="FF9C9C9C"/>
            </top>
            <bottom style="thin">
              <color rgb="FF9C9C9C"/>
            </bottom>
          </border>
        </dxf>
      </x14:dxfs>
    </ext>
    <ext xmlns:x14="http://schemas.microsoft.com/office/spreadsheetml/2009/9/main" uri="{EB79DEF2-80B8-43e5-95BD-54CBDDF9020C}">
      <x14:slicerStyles defaultSlicerStyle="SlicerStyleLight1">
        <x14:slicerStyle name="Gridline 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998891304"/>
        <c:axId val="998896704"/>
      </c:barChart>
      <c:catAx>
        <c:axId val="9988913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96704"/>
        <c:crosses val="autoZero"/>
        <c:auto val="1"/>
        <c:lblAlgn val="ctr"/>
        <c:lblOffset val="100"/>
        <c:noMultiLvlLbl val="0"/>
      </c:catAx>
      <c:valAx>
        <c:axId val="99889670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91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14375" cy="638210"/>
    <xdr:pic>
      <xdr:nvPicPr>
        <xdr:cNvPr id="2" name="Picture 1">
          <a:extLst>
            <a:ext uri="{FF2B5EF4-FFF2-40B4-BE49-F238E27FC236}">
              <a16:creationId xmlns:a16="http://schemas.microsoft.com/office/drawing/2014/main" id="{0F8459E7-D618-404A-9E25-0061C31657A8}"/>
            </a:ext>
          </a:extLst>
        </xdr:cNvPr>
        <xdr:cNvPicPr>
          <a:picLocks noChangeAspect="1"/>
        </xdr:cNvPicPr>
      </xdr:nvPicPr>
      <xdr:blipFill>
        <a:blip xmlns:r="http://schemas.openxmlformats.org/officeDocument/2006/relationships" r:embed="rId1"/>
        <a:stretch>
          <a:fillRect/>
        </a:stretch>
      </xdr:blipFill>
      <xdr:spPr>
        <a:xfrm>
          <a:off x="0" y="0"/>
          <a:ext cx="714375" cy="63821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2</xdr:col>
      <xdr:colOff>4572</xdr:colOff>
      <xdr:row>12</xdr:row>
      <xdr:rowOff>185547</xdr:rowOff>
    </xdr:to>
    <xdr:graphicFrame macro="">
      <xdr:nvGraphicFramePr>
        <xdr:cNvPr id="3" name="Chart 2">
          <a:extLst>
            <a:ext uri="{FF2B5EF4-FFF2-40B4-BE49-F238E27FC236}">
              <a16:creationId xmlns:a16="http://schemas.microsoft.com/office/drawing/2014/main" id="{879D39D5-2A6D-415F-9629-3864128C9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714375" cy="638210"/>
    <xdr:pic>
      <xdr:nvPicPr>
        <xdr:cNvPr id="2" name="Picture 1">
          <a:extLst>
            <a:ext uri="{FF2B5EF4-FFF2-40B4-BE49-F238E27FC236}">
              <a16:creationId xmlns:a16="http://schemas.microsoft.com/office/drawing/2014/main" id="{DF653A8F-832D-4F6F-936C-8C5311315B62}"/>
            </a:ext>
          </a:extLst>
        </xdr:cNvPr>
        <xdr:cNvPicPr>
          <a:picLocks noChangeAspect="1"/>
        </xdr:cNvPicPr>
      </xdr:nvPicPr>
      <xdr:blipFill>
        <a:blip xmlns:r="http://schemas.openxmlformats.org/officeDocument/2006/relationships" r:embed="rId1"/>
        <a:stretch>
          <a:fillRect/>
        </a:stretch>
      </xdr:blipFill>
      <xdr:spPr>
        <a:xfrm>
          <a:off x="0" y="0"/>
          <a:ext cx="714375" cy="638210"/>
        </a:xfrm>
        <a:prstGeom prst="rect">
          <a:avLst/>
        </a:prstGeom>
      </xdr:spPr>
    </xdr:pic>
    <xdr:clientData/>
  </xdr:oneCellAnchor>
  <xdr:twoCellAnchor editAs="absolute">
    <xdr:from>
      <xdr:col>6</xdr:col>
      <xdr:colOff>571501</xdr:colOff>
      <xdr:row>0</xdr:row>
      <xdr:rowOff>0</xdr:rowOff>
    </xdr:from>
    <xdr:to>
      <xdr:col>8</xdr:col>
      <xdr:colOff>1647825</xdr:colOff>
      <xdr:row>8</xdr:row>
      <xdr:rowOff>22860</xdr:rowOff>
    </xdr:to>
    <mc:AlternateContent xmlns:mc="http://schemas.openxmlformats.org/markup-compatibility/2006" xmlns:a14="http://schemas.microsoft.com/office/drawing/2010/main">
      <mc:Choice Requires="a14">
        <xdr:graphicFrame macro="">
          <xdr:nvGraphicFramePr>
            <xdr:cNvPr id="5" name="Driver Name 1">
              <a:extLst>
                <a:ext uri="{FF2B5EF4-FFF2-40B4-BE49-F238E27FC236}">
                  <a16:creationId xmlns:a16="http://schemas.microsoft.com/office/drawing/2014/main" id="{E13A59A4-0DE6-1772-9881-E9B446C7B077}"/>
                </a:ext>
              </a:extLst>
            </xdr:cNvPr>
            <xdr:cNvGraphicFramePr/>
          </xdr:nvGraphicFramePr>
          <xdr:xfrm>
            <a:off x="0" y="0"/>
            <a:ext cx="0" cy="0"/>
          </xdr:xfrm>
          <a:graphic>
            <a:graphicData uri="http://schemas.microsoft.com/office/drawing/2010/slicer">
              <sle:slicer xmlns:sle="http://schemas.microsoft.com/office/drawing/2010/slicer" name="Driver Name 1"/>
            </a:graphicData>
          </a:graphic>
        </xdr:graphicFrame>
      </mc:Choice>
      <mc:Fallback xmlns="">
        <xdr:sp macro="" textlink="">
          <xdr:nvSpPr>
            <xdr:cNvPr id="0" name=""/>
            <xdr:cNvSpPr>
              <a:spLocks noTextEdit="1"/>
            </xdr:cNvSpPr>
          </xdr:nvSpPr>
          <xdr:spPr>
            <a:xfrm>
              <a:off x="9372601" y="0"/>
              <a:ext cx="3933824"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733425</xdr:colOff>
      <xdr:row>0</xdr:row>
      <xdr:rowOff>0</xdr:rowOff>
    </xdr:from>
    <xdr:to>
      <xdr:col>6</xdr:col>
      <xdr:colOff>571500</xdr:colOff>
      <xdr:row>8</xdr:row>
      <xdr:rowOff>22860</xdr:rowOff>
    </xdr:to>
    <mc:AlternateContent xmlns:mc="http://schemas.openxmlformats.org/markup-compatibility/2006" xmlns:a14="http://schemas.microsoft.com/office/drawing/2010/main">
      <mc:Choice Requires="a14">
        <xdr:graphicFrame macro="">
          <xdr:nvGraphicFramePr>
            <xdr:cNvPr id="6" name="Group 1">
              <a:extLst>
                <a:ext uri="{FF2B5EF4-FFF2-40B4-BE49-F238E27FC236}">
                  <a16:creationId xmlns:a16="http://schemas.microsoft.com/office/drawing/2014/main" id="{CC0ABC6D-5438-C626-AE26-E9D1E90CEF94}"/>
                </a:ext>
              </a:extLst>
            </xdr:cNvPr>
            <xdr:cNvGraphicFramePr/>
          </xdr:nvGraphicFramePr>
          <xdr:xfrm>
            <a:off x="0" y="0"/>
            <a:ext cx="0" cy="0"/>
          </xdr:xfrm>
          <a:graphic>
            <a:graphicData uri="http://schemas.microsoft.com/office/drawing/2010/slicer">
              <sle:slicer xmlns:sle="http://schemas.microsoft.com/office/drawing/2010/slicer" name="Group 1"/>
            </a:graphicData>
          </a:graphic>
        </xdr:graphicFrame>
      </mc:Choice>
      <mc:Fallback xmlns="">
        <xdr:sp macro="" textlink="">
          <xdr:nvSpPr>
            <xdr:cNvPr id="0" name=""/>
            <xdr:cNvSpPr>
              <a:spLocks noTextEdit="1"/>
            </xdr:cNvSpPr>
          </xdr:nvSpPr>
          <xdr:spPr>
            <a:xfrm>
              <a:off x="6677025" y="0"/>
              <a:ext cx="2695575"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714375" cy="638210"/>
    <xdr:pic>
      <xdr:nvPicPr>
        <xdr:cNvPr id="2" name="Picture 1">
          <a:extLst>
            <a:ext uri="{FF2B5EF4-FFF2-40B4-BE49-F238E27FC236}">
              <a16:creationId xmlns:a16="http://schemas.microsoft.com/office/drawing/2014/main" id="{4834ADD6-6FD2-4DC7-827C-16FBD6409919}"/>
            </a:ext>
          </a:extLst>
        </xdr:cNvPr>
        <xdr:cNvPicPr>
          <a:picLocks noChangeAspect="1"/>
        </xdr:cNvPicPr>
      </xdr:nvPicPr>
      <xdr:blipFill>
        <a:blip xmlns:r="http://schemas.openxmlformats.org/officeDocument/2006/relationships" r:embed="rId1"/>
        <a:stretch>
          <a:fillRect/>
        </a:stretch>
      </xdr:blipFill>
      <xdr:spPr>
        <a:xfrm>
          <a:off x="0" y="0"/>
          <a:ext cx="714375" cy="63821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714375" cy="638210"/>
    <xdr:pic>
      <xdr:nvPicPr>
        <xdr:cNvPr id="2" name="Picture 1">
          <a:extLst>
            <a:ext uri="{FF2B5EF4-FFF2-40B4-BE49-F238E27FC236}">
              <a16:creationId xmlns:a16="http://schemas.microsoft.com/office/drawing/2014/main" id="{438B3432-75EC-483B-89E5-A32033F6BCB2}"/>
            </a:ext>
          </a:extLst>
        </xdr:cNvPr>
        <xdr:cNvPicPr>
          <a:picLocks noChangeAspect="1"/>
        </xdr:cNvPicPr>
      </xdr:nvPicPr>
      <xdr:blipFill>
        <a:blip xmlns:r="http://schemas.openxmlformats.org/officeDocument/2006/relationships" r:embed="rId1"/>
        <a:stretch>
          <a:fillRect/>
        </a:stretch>
      </xdr:blipFill>
      <xdr:spPr>
        <a:xfrm>
          <a:off x="0" y="0"/>
          <a:ext cx="714375" cy="63821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chaelGranados\Downloads\Gridline%20-%20Zone%20Events.xlsx" TargetMode="External"/><Relationship Id="rId1" Type="http://schemas.openxmlformats.org/officeDocument/2006/relationships/externalLinkPath" Target="Gridline%20-%20Zone%20Eve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Notification"/>
      <sheetName val="Report"/>
    </sheetNames>
    <sheetDataSet>
      <sheetData sheetId="0">
        <row r="3">
          <cell r="B3">
            <v>46105</v>
          </cell>
        </row>
        <row r="4">
          <cell r="B4">
            <v>46105.999988425923</v>
          </cell>
        </row>
      </sheetData>
      <sheetData sheetId="1" refreshError="1"/>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ichael Granados" refreshedDate="46160.682269212964" missingItemsLimit="0" createdVersion="4" refreshedVersion="8" minRefreshableVersion="3" recordCount="33" xr:uid="{00000000-000A-0000-FFFF-FFFFF7010000}">
  <cacheSource type="worksheet">
    <worksheetSource name="AllData"/>
  </cacheSource>
  <cacheFields count="13">
    <cacheField name="Driver Name" numFmtId="0">
      <sharedItems count="1">
        <s v="Alberto Perez"/>
      </sharedItems>
    </cacheField>
    <cacheField name="Username" numFmtId="0">
      <sharedItems/>
    </cacheField>
    <cacheField name="Group" numFmtId="0">
      <sharedItems count="1">
        <s v="San Antonio ADI"/>
      </sharedItems>
    </cacheField>
    <cacheField name="Start Date" numFmtId="169">
      <sharedItems containsSemiMixedTypes="0" containsNonDate="0" containsDate="1" containsString="0" minDate="2026-03-24T00:00:00" maxDate="2026-03-25T00:00:00"/>
    </cacheField>
    <cacheField name="Date/Time" numFmtId="173">
      <sharedItems containsSemiMixedTypes="0" containsNonDate="0" containsDate="1" containsString="0" minDate="2026-03-24T07:21:06" maxDate="2026-03-24T18:25:06"/>
    </cacheField>
    <cacheField name="Status" numFmtId="0">
      <sharedItems/>
    </cacheField>
    <cacheField name="Initial Login" numFmtId="173">
      <sharedItems containsSemiMixedTypes="0" containsNonDate="0" containsDate="1" containsString="0" minDate="2026-03-24T07:21:06" maxDate="2026-03-24T07:21:06"/>
    </cacheField>
    <cacheField name="Next On" numFmtId="173">
      <sharedItems containsSemiMixedTypes="0" containsNonDate="0" containsDate="1" containsString="0" minDate="2026-03-24T07:22:07" maxDate="2026-03-24T07:22:07"/>
    </cacheField>
    <cacheField name="Initial Exit" numFmtId="173">
      <sharedItems containsSemiMixedTypes="0" containsNonDate="0" containsDate="1" containsString="0" minDate="1899-12-30T00:00:00" maxDate="1899-12-31T00:00:00"/>
    </cacheField>
    <cacheField name="Final Arrival" numFmtId="173">
      <sharedItems containsSemiMixedTypes="0" containsNonDate="0" containsDate="1" containsString="0" minDate="1899-12-30T00:00:00" maxDate="1899-12-31T00:00:00"/>
    </cacheField>
    <cacheField name="Last Logout" numFmtId="173">
      <sharedItems containsSemiMixedTypes="0" containsNonDate="0" containsDate="1" containsString="0" minDate="2026-03-24T18:25:06" maxDate="2026-03-24T18:25:06"/>
    </cacheField>
    <cacheField name="% of 40 hours" numFmtId="0" formula="1- (#NAME?/40)" databaseField="0"/>
    <cacheField name="Total Over 40 Hours" numFmtId="0" formula="IF(#NAME?&gt;40/24,#NAME?-40/24,0)" databaseField="0"/>
  </cacheFields>
  <extLst>
    <ext xmlns:x14="http://schemas.microsoft.com/office/spreadsheetml/2009/9/main" uri="{725AE2AE-9491-48be-B2B4-4EB974FC3084}">
      <x14:pivotCacheDefinition pivotCacheId="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s v="al-8103663"/>
    <x v="0"/>
    <d v="2026-03-24T00:00:00"/>
    <d v="2026-03-24T07:21:06"/>
    <s v="Login"/>
    <d v="2026-03-24T07:21:06"/>
    <d v="2026-03-24T07:22:07"/>
    <d v="1899-12-30T00:00:00"/>
    <d v="1899-12-30T00:00:00"/>
    <d v="2026-03-24T18:25:06"/>
  </r>
  <r>
    <x v="0"/>
    <s v="al-8103663"/>
    <x v="0"/>
    <d v="2026-03-24T00:00:00"/>
    <d v="2026-03-24T07:22:07"/>
    <s v="ON"/>
    <d v="2026-03-24T07:21:06"/>
    <d v="2026-03-24T07:22:07"/>
    <d v="1899-12-30T00:00:00"/>
    <d v="1899-12-30T00:00:00"/>
    <d v="2026-03-24T18:25:06"/>
  </r>
  <r>
    <x v="0"/>
    <s v="al-8103663"/>
    <x v="0"/>
    <d v="2026-03-24T00:00:00"/>
    <d v="2026-03-24T08:52:50"/>
    <s v="D"/>
    <d v="2026-03-24T07:21:06"/>
    <d v="2026-03-24T07:22:07"/>
    <d v="1899-12-30T00:00:00"/>
    <d v="1899-12-30T00:00:00"/>
    <d v="2026-03-24T18:25:06"/>
  </r>
  <r>
    <x v="0"/>
    <s v="al-8103663"/>
    <x v="0"/>
    <d v="2026-03-24T00:00:00"/>
    <d v="2026-03-24T09:16:20"/>
    <s v="ON"/>
    <d v="2026-03-24T07:21:06"/>
    <d v="2026-03-24T07:22:07"/>
    <d v="1899-12-30T00:00:00"/>
    <d v="1899-12-30T00:00:00"/>
    <d v="2026-03-24T18:25:06"/>
  </r>
  <r>
    <x v="0"/>
    <s v="al-8103663"/>
    <x v="0"/>
    <d v="2026-03-24T00:00:00"/>
    <d v="2026-03-24T09:26:30"/>
    <s v="D"/>
    <d v="2026-03-24T07:21:06"/>
    <d v="2026-03-24T07:22:07"/>
    <d v="1899-12-30T00:00:00"/>
    <d v="1899-12-30T00:00:00"/>
    <d v="2026-03-24T18:25:06"/>
  </r>
  <r>
    <x v="0"/>
    <s v="al-8103663"/>
    <x v="0"/>
    <d v="2026-03-24T00:00:00"/>
    <d v="2026-03-24T09:45:16"/>
    <s v="ON"/>
    <d v="2026-03-24T07:21:06"/>
    <d v="2026-03-24T07:22:07"/>
    <d v="1899-12-30T00:00:00"/>
    <d v="1899-12-30T00:00:00"/>
    <d v="2026-03-24T18:25:06"/>
  </r>
  <r>
    <x v="0"/>
    <s v="al-8103663"/>
    <x v="0"/>
    <d v="2026-03-24T00:00:00"/>
    <d v="2026-03-24T10:03:43"/>
    <s v="D"/>
    <d v="2026-03-24T07:21:06"/>
    <d v="2026-03-24T07:22:07"/>
    <d v="1899-12-30T00:00:00"/>
    <d v="1899-12-30T00:00:00"/>
    <d v="2026-03-24T18:25:06"/>
  </r>
  <r>
    <x v="0"/>
    <s v="al-8103663"/>
    <x v="0"/>
    <d v="2026-03-24T00:00:00"/>
    <d v="2026-03-24T10:23:58"/>
    <s v="ON"/>
    <d v="2026-03-24T07:21:06"/>
    <d v="2026-03-24T07:22:07"/>
    <d v="1899-12-30T00:00:00"/>
    <d v="1899-12-30T00:00:00"/>
    <d v="2026-03-24T18:25:06"/>
  </r>
  <r>
    <x v="0"/>
    <s v="al-8103663"/>
    <x v="0"/>
    <d v="2026-03-24T00:00:00"/>
    <d v="2026-03-24T10:28:04"/>
    <s v="D"/>
    <d v="2026-03-24T07:21:06"/>
    <d v="2026-03-24T07:22:07"/>
    <d v="1899-12-30T00:00:00"/>
    <d v="1899-12-30T00:00:00"/>
    <d v="2026-03-24T18:25:06"/>
  </r>
  <r>
    <x v="0"/>
    <s v="al-8103663"/>
    <x v="0"/>
    <d v="2026-03-24T00:00:00"/>
    <d v="2026-03-24T10:52:57"/>
    <s v="ON"/>
    <d v="2026-03-24T07:21:06"/>
    <d v="2026-03-24T07:22:07"/>
    <d v="1899-12-30T00:00:00"/>
    <d v="1899-12-30T00:00:00"/>
    <d v="2026-03-24T18:25:06"/>
  </r>
  <r>
    <x v="0"/>
    <s v="al-8103663"/>
    <x v="0"/>
    <d v="2026-03-24T00:00:00"/>
    <d v="2026-03-24T11:00:14"/>
    <s v="D"/>
    <d v="2026-03-24T07:21:06"/>
    <d v="2026-03-24T07:22:07"/>
    <d v="1899-12-30T00:00:00"/>
    <d v="1899-12-30T00:00:00"/>
    <d v="2026-03-24T18:25:06"/>
  </r>
  <r>
    <x v="0"/>
    <s v="al-8103663"/>
    <x v="0"/>
    <d v="2026-03-24T00:00:00"/>
    <d v="2026-03-24T11:55:45"/>
    <s v="ON"/>
    <d v="2026-03-24T07:21:06"/>
    <d v="2026-03-24T07:22:07"/>
    <d v="1899-12-30T00:00:00"/>
    <d v="1899-12-30T00:00:00"/>
    <d v="2026-03-24T18:25:06"/>
  </r>
  <r>
    <x v="0"/>
    <s v="al-8103663"/>
    <x v="0"/>
    <d v="2026-03-24T00:00:00"/>
    <d v="2026-03-24T12:23:08"/>
    <s v="D"/>
    <d v="2026-03-24T07:21:06"/>
    <d v="2026-03-24T07:22:07"/>
    <d v="1899-12-30T00:00:00"/>
    <d v="1899-12-30T00:00:00"/>
    <d v="2026-03-24T18:25:06"/>
  </r>
  <r>
    <x v="0"/>
    <s v="al-8103663"/>
    <x v="0"/>
    <d v="2026-03-24T00:00:00"/>
    <d v="2026-03-24T12:46:24"/>
    <s v="ON"/>
    <d v="2026-03-24T07:21:06"/>
    <d v="2026-03-24T07:22:07"/>
    <d v="1899-12-30T00:00:00"/>
    <d v="1899-12-30T00:00:00"/>
    <d v="2026-03-24T18:25:06"/>
  </r>
  <r>
    <x v="0"/>
    <s v="al-8103663"/>
    <x v="0"/>
    <d v="2026-03-24T00:00:00"/>
    <d v="2026-03-24T12:50:08"/>
    <s v="D"/>
    <d v="2026-03-24T07:21:06"/>
    <d v="2026-03-24T07:22:07"/>
    <d v="1899-12-30T00:00:00"/>
    <d v="1899-12-30T00:00:00"/>
    <d v="2026-03-24T18:25:06"/>
  </r>
  <r>
    <x v="0"/>
    <s v="al-8103663"/>
    <x v="0"/>
    <d v="2026-03-24T00:00:00"/>
    <d v="2026-03-24T13:01:20"/>
    <s v="ON"/>
    <d v="2026-03-24T07:21:06"/>
    <d v="2026-03-24T07:22:07"/>
    <d v="1899-12-30T00:00:00"/>
    <d v="1899-12-30T00:00:00"/>
    <d v="2026-03-24T18:25:06"/>
  </r>
  <r>
    <x v="0"/>
    <s v="al-8103663"/>
    <x v="0"/>
    <d v="2026-03-24T00:00:00"/>
    <d v="2026-03-24T13:17:00"/>
    <s v="D"/>
    <d v="2026-03-24T07:21:06"/>
    <d v="2026-03-24T07:22:07"/>
    <d v="1899-12-30T00:00:00"/>
    <d v="1899-12-30T00:00:00"/>
    <d v="2026-03-24T18:25:06"/>
  </r>
  <r>
    <x v="0"/>
    <s v="al-8103663"/>
    <x v="0"/>
    <d v="2026-03-24T00:00:00"/>
    <d v="2026-03-24T13:39:15"/>
    <s v="ON"/>
    <d v="2026-03-24T07:21:06"/>
    <d v="2026-03-24T07:22:07"/>
    <d v="1899-12-30T00:00:00"/>
    <d v="1899-12-30T00:00:00"/>
    <d v="2026-03-24T18:25:06"/>
  </r>
  <r>
    <x v="0"/>
    <s v="al-8103663"/>
    <x v="0"/>
    <d v="2026-03-24T00:00:00"/>
    <d v="2026-03-24T13:49:36"/>
    <s v="D"/>
    <d v="2026-03-24T07:21:06"/>
    <d v="2026-03-24T07:22:07"/>
    <d v="1899-12-30T00:00:00"/>
    <d v="1899-12-30T00:00:00"/>
    <d v="2026-03-24T18:25:06"/>
  </r>
  <r>
    <x v="0"/>
    <s v="al-8103663"/>
    <x v="0"/>
    <d v="2026-03-24T00:00:00"/>
    <d v="2026-03-24T14:34:49"/>
    <s v="ON"/>
    <d v="2026-03-24T07:21:06"/>
    <d v="2026-03-24T07:22:07"/>
    <d v="1899-12-30T00:00:00"/>
    <d v="1899-12-30T00:00:00"/>
    <d v="2026-03-24T18:25:06"/>
  </r>
  <r>
    <x v="0"/>
    <s v="al-8103663"/>
    <x v="0"/>
    <d v="2026-03-24T00:00:00"/>
    <d v="2026-03-24T14:53:00"/>
    <s v="D"/>
    <d v="2026-03-24T07:21:06"/>
    <d v="2026-03-24T07:22:07"/>
    <d v="1899-12-30T00:00:00"/>
    <d v="1899-12-30T00:00:00"/>
    <d v="2026-03-24T18:25:06"/>
  </r>
  <r>
    <x v="0"/>
    <s v="al-8103663"/>
    <x v="0"/>
    <d v="2026-03-24T00:00:00"/>
    <d v="2026-03-24T15:06:10"/>
    <s v="ON"/>
    <d v="2026-03-24T07:21:06"/>
    <d v="2026-03-24T07:22:07"/>
    <d v="1899-12-30T00:00:00"/>
    <d v="1899-12-30T00:00:00"/>
    <d v="2026-03-24T18:25:06"/>
  </r>
  <r>
    <x v="0"/>
    <s v="al-8103663"/>
    <x v="0"/>
    <d v="2026-03-24T00:00:00"/>
    <d v="2026-03-24T15:34:23"/>
    <s v="D"/>
    <d v="2026-03-24T07:21:06"/>
    <d v="2026-03-24T07:22:07"/>
    <d v="1899-12-30T00:00:00"/>
    <d v="1899-12-30T00:00:00"/>
    <d v="2026-03-24T18:25:06"/>
  </r>
  <r>
    <x v="0"/>
    <s v="al-8103663"/>
    <x v="0"/>
    <d v="2026-03-24T00:00:00"/>
    <d v="2026-03-24T15:41:46"/>
    <s v="ON"/>
    <d v="2026-03-24T07:21:06"/>
    <d v="2026-03-24T07:22:07"/>
    <d v="1899-12-30T00:00:00"/>
    <d v="1899-12-30T00:00:00"/>
    <d v="2026-03-24T18:25:06"/>
  </r>
  <r>
    <x v="0"/>
    <s v="al-8103663"/>
    <x v="0"/>
    <d v="2026-03-24T00:00:00"/>
    <d v="2026-03-24T16:06:59"/>
    <s v="D"/>
    <d v="2026-03-24T07:21:06"/>
    <d v="2026-03-24T07:22:07"/>
    <d v="1899-12-30T00:00:00"/>
    <d v="1899-12-30T00:00:00"/>
    <d v="2026-03-24T18:25:06"/>
  </r>
  <r>
    <x v="0"/>
    <s v="al-8103663"/>
    <x v="0"/>
    <d v="2026-03-24T00:00:00"/>
    <d v="2026-03-24T16:15:38"/>
    <s v="ON"/>
    <d v="2026-03-24T07:21:06"/>
    <d v="2026-03-24T07:22:07"/>
    <d v="1899-12-30T00:00:00"/>
    <d v="1899-12-30T00:00:00"/>
    <d v="2026-03-24T18:25:06"/>
  </r>
  <r>
    <x v="0"/>
    <s v="al-8103663"/>
    <x v="0"/>
    <d v="2026-03-24T00:00:00"/>
    <d v="2026-03-24T16:18:17"/>
    <s v="D"/>
    <d v="2026-03-24T07:21:06"/>
    <d v="2026-03-24T07:22:07"/>
    <d v="1899-12-30T00:00:00"/>
    <d v="1899-12-30T00:00:00"/>
    <d v="2026-03-24T18:25:06"/>
  </r>
  <r>
    <x v="0"/>
    <s v="al-8103663"/>
    <x v="0"/>
    <d v="2026-03-24T00:00:00"/>
    <d v="2026-03-24T16:42:11"/>
    <s v="ON"/>
    <d v="2026-03-24T07:21:06"/>
    <d v="2026-03-24T07:22:07"/>
    <d v="1899-12-30T00:00:00"/>
    <d v="1899-12-30T00:00:00"/>
    <d v="2026-03-24T18:25:06"/>
  </r>
  <r>
    <x v="0"/>
    <s v="al-8103663"/>
    <x v="0"/>
    <d v="2026-03-24T00:00:00"/>
    <d v="2026-03-24T16:53:18"/>
    <s v="D"/>
    <d v="2026-03-24T07:21:06"/>
    <d v="2026-03-24T07:22:07"/>
    <d v="1899-12-30T00:00:00"/>
    <d v="1899-12-30T00:00:00"/>
    <d v="2026-03-24T18:25:06"/>
  </r>
  <r>
    <x v="0"/>
    <s v="al-8103663"/>
    <x v="0"/>
    <d v="2026-03-24T00:00:00"/>
    <d v="2026-03-24T16:59:26"/>
    <s v="ON"/>
    <d v="2026-03-24T07:21:06"/>
    <d v="2026-03-24T07:22:07"/>
    <d v="1899-12-30T00:00:00"/>
    <d v="1899-12-30T00:00:00"/>
    <d v="2026-03-24T18:25:06"/>
  </r>
  <r>
    <x v="0"/>
    <s v="al-8103663"/>
    <x v="0"/>
    <d v="2026-03-24T00:00:00"/>
    <d v="2026-03-24T16:59:52"/>
    <s v="D"/>
    <d v="2026-03-24T07:21:06"/>
    <d v="2026-03-24T07:22:07"/>
    <d v="1899-12-30T00:00:00"/>
    <d v="1899-12-30T00:00:00"/>
    <d v="2026-03-24T18:25:06"/>
  </r>
  <r>
    <x v="0"/>
    <s v="al-8103663"/>
    <x v="0"/>
    <d v="2026-03-24T00:00:00"/>
    <d v="2026-03-24T17:16:38"/>
    <s v="ON"/>
    <d v="2026-03-24T07:21:06"/>
    <d v="2026-03-24T07:22:07"/>
    <d v="1899-12-30T00:00:00"/>
    <d v="1899-12-30T00:00:00"/>
    <d v="2026-03-24T18:25:06"/>
  </r>
  <r>
    <x v="0"/>
    <s v="al-8103663"/>
    <x v="0"/>
    <d v="2026-03-24T00:00:00"/>
    <d v="2026-03-24T18:25:06"/>
    <s v="Logoff"/>
    <d v="2026-03-24T07:21:06"/>
    <d v="2026-03-24T07:22:07"/>
    <d v="1899-12-30T00:00:00"/>
    <d v="1899-12-30T00:00:00"/>
    <d v="2026-03-24T18:25: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6611F5-A278-47AE-80F3-E884BD4A51E7}" name="PivotTable1" cacheId="11" applyNumberFormats="0" applyBorderFormats="0" applyFontFormats="0" applyPatternFormats="0" applyAlignmentFormats="0" applyWidthHeightFormats="1" dataCaption="Values" updatedVersion="8" minRefreshableVersion="3" showDrill="0" rowGrandTotals="0" colGrandTotals="0" itemPrintTitles="1" createdVersion="4" indent="0" compact="0" compactData="0" multipleFieldFilters="0">
  <location ref="B10:H11" firstHeaderRow="0" firstDataRow="1" firstDataCol="2"/>
  <pivotFields count="13">
    <pivotField axis="axisRow" compact="0" outline="0" showAll="0" sortType="ascending" defaultSubtotal="0">
      <items count="1">
        <item x="0"/>
      </items>
    </pivotField>
    <pivotField compact="0" outline="0" showAll="0"/>
    <pivotField axis="axisRow" compact="0" outline="0" showAll="0">
      <items count="2">
        <item x="0"/>
        <item t="default"/>
      </items>
    </pivotField>
    <pivotField compact="0" numFmtId="169" outline="0" showAll="0"/>
    <pivotField compact="0" numFmtId="173" outline="0" showAll="0"/>
    <pivotField compact="0" outline="0" showAll="0"/>
    <pivotField dataField="1" compact="0" outline="0" showAll="0"/>
    <pivotField dataField="1" compact="0" numFmtId="173" outline="0" showAll="0"/>
    <pivotField dataField="1" compact="0" numFmtId="173" outline="0" showAll="0"/>
    <pivotField dataField="1" compact="0" numFmtId="173" outline="0" showAll="0"/>
    <pivotField dataField="1" compact="0" numFmtId="173" outline="0" showAll="0"/>
    <pivotField compact="0" outline="0" dragToRow="0" dragToCol="0" dragToPage="0" showAll="0" defaultSubtotal="0"/>
    <pivotField compact="0" outline="0" dragToRow="0" dragToCol="0" dragToPage="0" showAll="0" defaultSubtotal="0"/>
  </pivotFields>
  <rowFields count="2">
    <field x="0"/>
    <field x="2"/>
  </rowFields>
  <rowItems count="1">
    <i>
      <x/>
      <x/>
    </i>
  </rowItems>
  <colFields count="1">
    <field x="-2"/>
  </colFields>
  <colItems count="5">
    <i>
      <x/>
    </i>
    <i i="1">
      <x v="1"/>
    </i>
    <i i="2">
      <x v="2"/>
    </i>
    <i i="3">
      <x v="3"/>
    </i>
    <i i="4">
      <x v="4"/>
    </i>
  </colItems>
  <dataFields count="5">
    <dataField name=" Initial Login " fld="6" subtotal="min" baseField="0" baseItem="0" numFmtId="176"/>
    <dataField name=" Next On " fld="7" subtotal="min" baseField="0" baseItem="0" numFmtId="176"/>
    <dataField name="Initial Departure (Zone)" fld="8" subtotal="min" baseField="0" baseItem="0" numFmtId="176"/>
    <dataField name="Final Arrival (Zone)" fld="9" subtotal="max" baseField="0" baseItem="0" numFmtId="176"/>
    <dataField name="Final Logout" fld="10" subtotal="max" baseField="0" baseItem="0" numFmtId="176"/>
  </dataFields>
  <formats count="16">
    <format dxfId="47">
      <pivotArea outline="0" fieldPosition="0">
        <references count="1">
          <reference field="4294967294" count="1">
            <x v="0"/>
          </reference>
        </references>
      </pivotArea>
    </format>
    <format dxfId="46">
      <pivotArea outline="0" fieldPosition="0">
        <references count="1">
          <reference field="4294967294" count="1">
            <x v="1"/>
          </reference>
        </references>
      </pivotArea>
    </format>
    <format dxfId="45">
      <pivotArea outline="0" fieldPosition="0">
        <references count="1">
          <reference field="4294967294" count="1">
            <x v="2"/>
          </reference>
        </references>
      </pivotArea>
    </format>
    <format dxfId="44">
      <pivotArea outline="0" fieldPosition="0">
        <references count="1">
          <reference field="4294967294" count="1">
            <x v="3"/>
          </reference>
        </references>
      </pivotArea>
    </format>
    <format dxfId="43">
      <pivotArea outline="0" fieldPosition="0">
        <references count="1">
          <reference field="4294967294" count="1">
            <x v="4"/>
          </reference>
        </references>
      </pivotArea>
    </format>
    <format dxfId="42">
      <pivotArea dataOnly="0" outline="0" fieldPosition="0">
        <references count="1">
          <reference field="4294967294" count="5">
            <x v="0"/>
            <x v="1"/>
            <x v="2"/>
            <x v="3"/>
            <x v="4"/>
          </reference>
        </references>
      </pivotArea>
    </format>
    <format dxfId="41">
      <pivotArea field="0" type="button" dataOnly="0" labelOnly="1" outline="0" axis="axisRow" fieldPosition="0"/>
    </format>
    <format dxfId="40">
      <pivotArea field="2" type="button" dataOnly="0" labelOnly="1" outline="0" axis="axisRow" fieldPosition="1"/>
    </format>
    <format dxfId="39">
      <pivotArea dataOnly="0" labelOnly="1" outline="0" fieldPosition="0">
        <references count="1">
          <reference field="4294967294" count="5">
            <x v="0"/>
            <x v="1"/>
            <x v="2"/>
            <x v="3"/>
            <x v="4"/>
          </reference>
        </references>
      </pivotArea>
    </format>
    <format dxfId="38">
      <pivotArea field="0" type="button" dataOnly="0" labelOnly="1" outline="0" axis="axisRow" fieldPosition="0"/>
    </format>
    <format dxfId="37">
      <pivotArea field="2" type="button" dataOnly="0" labelOnly="1" outline="0" axis="axisRow" fieldPosition="1"/>
    </format>
    <format dxfId="36">
      <pivotArea dataOnly="0" labelOnly="1" outline="0" fieldPosition="0">
        <references count="1">
          <reference field="4294967294" count="5">
            <x v="0"/>
            <x v="1"/>
            <x v="2"/>
            <x v="3"/>
            <x v="4"/>
          </reference>
        </references>
      </pivotArea>
    </format>
    <format dxfId="35">
      <pivotArea dataOnly="0" labelOnly="1" outline="0" fieldPosition="0">
        <references count="1">
          <reference field="4294967294" count="5">
            <x v="0"/>
            <x v="1"/>
            <x v="2"/>
            <x v="3"/>
            <x v="4"/>
          </reference>
        </references>
      </pivotArea>
    </format>
    <format dxfId="34">
      <pivotArea field="0" type="button" dataOnly="0" labelOnly="1" outline="0" axis="axisRow" fieldPosition="0"/>
    </format>
    <format dxfId="33">
      <pivotArea field="2" type="button" dataOnly="0" labelOnly="1" outline="0" axis="axisRow" fieldPosition="1"/>
    </format>
    <format dxfId="32">
      <pivotArea dataOnly="0" labelOnly="1" outline="0" fieldPosition="0">
        <references count="1">
          <reference field="4294967294" count="5">
            <x v="0"/>
            <x v="1"/>
            <x v="2"/>
            <x v="3"/>
            <x v="4"/>
          </reference>
        </references>
      </pivotArea>
    </format>
  </formats>
  <pivotTableStyleInfo name="Gridline Pivot (09_20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Name1" xr10:uid="{15C8D0E4-2CC4-4E0F-AC5E-2734F822B571}" sourceName="Driver Name">
  <pivotTables>
    <pivotTable tabId="13" name="PivotTable1"/>
  </pivotTables>
  <data>
    <tabular pivotCacheId="4">
      <items count="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1" xr10:uid="{E49FA4E3-A243-456B-B87A-258E64338F89}" sourceName="Group">
  <pivotTables>
    <pivotTable tabId="13" name="PivotTable1"/>
  </pivotTables>
  <data>
    <tabular pivotCacheId="4">
      <items count="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iver Name 1" xr10:uid="{66CD163D-8973-4956-822A-EBBB781EE54A}" cache="Slicer_Driver_Name1" caption="Driver Name" columnCount="2" style="Gridline Slicer 2" rowHeight="237744"/>
  <slicer name="Group 1" xr10:uid="{06FBF70A-A26E-4C5C-B91E-BDBCEF93BB98}" cache="Slicer_Group1" caption="Group" style="Gridline Slicer 2" rowHeight="23774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6B1299-FA05-4603-B914-02E6B2B1C210}" name="Table3" displayName="Table3" ref="B7:Q8" totalsRowShown="0" headerRowDxfId="31">
  <autoFilter ref="B7:Q8" xr:uid="{1F6B1299-FA05-4603-B914-02E6B2B1C210}"/>
  <tableColumns count="16">
    <tableColumn id="1" xr3:uid="{C260D520-F94C-4063-A4A0-05BC58CC5374}" name="Device"/>
    <tableColumn id="2" xr3:uid="{9EF2188A-D956-4F18-8526-F08099A1A1C5}" name="Device Group"/>
    <tableColumn id="3" xr3:uid="{5E605834-AB04-449E-872E-481446392AF1}" name="First Name"/>
    <tableColumn id="4" xr3:uid="{0C1B8B4B-7E28-4153-BF8A-830361F3AFC1}" name="Last Name"/>
    <tableColumn id="5" xr3:uid="{48349113-A5BB-46AD-A639-8E024F7F49CF}" name="Driver"/>
    <tableColumn id="6" xr3:uid="{8BCC0C2E-1272-471A-BA66-560FD56B9AAE}" name="Driver Group"/>
    <tableColumn id="7" xr3:uid="{0DC78844-14F0-4AA9-B160-283D83E842EC}" name="Rule"/>
    <tableColumn id="8" xr3:uid="{037FF511-9346-4563-BDCB-196C3A86C27F}" name="Location"/>
    <tableColumn id="9" xr3:uid="{5A584038-FD7A-43E7-9810-D228484C0A01}" name="Location Zone Types"/>
    <tableColumn id="10" xr3:uid="{C700F317-0491-4C34-8903-40E882F834D0}" name="Date"/>
    <tableColumn id="11" xr3:uid="{5D22280C-3E67-4DA9-8AEC-3B1A793DFFE3}" name="Start Time"/>
    <tableColumn id="12" xr3:uid="{84B31929-889A-489B-AC58-EA0B40A471D2}" name="Duration"/>
    <tableColumn id="13" xr3:uid="{43F9AABC-A871-48CA-B1DF-D0DCFD0DE7F8}" name="Distance"/>
    <tableColumn id="14" xr3:uid="{21F32809-D5AA-44BA-A940-ED69EA9509AE}" name="Extra Info"/>
    <tableColumn id="15" xr3:uid="{70367EAD-517B-48E9-9EAB-74018D12EA5A}" name="Details"/>
    <tableColumn id="16" xr3:uid="{230A3DDF-685B-4CF5-96C2-FF9091ED6B59}" name="Status"/>
  </tableColumns>
  <tableStyleInfo name="Gridlin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F85B4F-E79B-42DC-91CE-393F769050FA}" name="Table2" displayName="Table2" ref="B7:M40" headerRowDxfId="30" dataDxfId="29">
  <autoFilter ref="B7:M40" xr:uid="{6AF85B4F-E79B-42DC-91CE-393F769050FA}"/>
  <tableColumns count="12">
    <tableColumn id="3" xr3:uid="{553FD70F-2DFA-46B4-B050-DAFE08972280}" name="Driver Name" dataDxfId="28">
      <calculatedColumnFormula>IF(ISBLANK(Data1!C2),"",PROPER(Data1!C2&amp;" "&amp;Data1!D2))</calculatedColumnFormula>
    </tableColumn>
    <tableColumn id="5" xr3:uid="{5C02BC90-0AAD-4296-B6C2-62756FB97B67}" name="Username" dataDxfId="27">
      <calculatedColumnFormula>IF(ISBLANK(Data1!E2),"",LOWER(Data1!E2))</calculatedColumnFormula>
    </tableColumn>
    <tableColumn id="8" xr3:uid="{12FDEA67-D945-4DBA-A087-A90360D9FFD2}" name="Group" dataDxfId="26">
      <calculatedColumnFormula>IF(ISBLANK(Data1!F2),"",IFERROR(LEFT(Data1!F2,SEARCH(", ",Data1!F2)-1),Data1!F2))</calculatedColumnFormula>
    </tableColumn>
    <tableColumn id="4" xr3:uid="{FAF27458-7CBA-46A2-A924-31A0304C4943}" name="Start Date" dataDxfId="25">
      <calculatedColumnFormula>INT(Table2[[#This Row],[Date/Time]])</calculatedColumnFormula>
    </tableColumn>
    <tableColumn id="1" xr3:uid="{F1A4DDAC-281D-4318-B504-10CE19511198}" name="Date/Time" dataDxfId="24">
      <calculatedColumnFormula>IF(ISBLANK(Data1!A2),"",Data1!A2)</calculatedColumnFormula>
    </tableColumn>
    <tableColumn id="2" xr3:uid="{07DB7FA6-A6B4-493F-A116-FD9FC511A70F}" name="Status" dataDxfId="23">
      <calculatedColumnFormula>IF(ISBLANK(Data1!B2),"",Data1!B2)</calculatedColumnFormula>
    </tableColumn>
    <tableColumn id="11" xr3:uid="{A1998BD9-CF88-4AA9-8199-E6DEE6378EF4}" name="Initial Login" dataDxfId="22">
      <calculatedColumnFormula>_xlfn.MINIFS(Table2[Date/Time],Table2[Start Date],Table2[[#This Row],[Start Date]],Table2[Username],Table2[[#This Row],[Username]],Table2[Status],"Login")</calculatedColumnFormula>
    </tableColumn>
    <tableColumn id="24" xr3:uid="{AC483FC8-A307-4988-A787-E1D05B5AFDC3}" name="Next On" dataDxfId="21">
      <calculatedColumnFormula>_xlfn.MINIFS(Table2[Date/Time],Table2[Username],Table2[[#This Row],[Username]],Table2[Date/Time],"&gt;"&amp;Table2[[#This Row],[Initial Login]],Table2[Status],"On")</calculatedColumnFormula>
    </tableColumn>
    <tableColumn id="6" xr3:uid="{081FE318-2B54-4C06-88B7-A209A0C47BFB}" name="Initial Exit" dataDxfId="20">
      <calculatedColumnFormula>_xlfn.MINIFS(Table3[Start Time],Table3[Driver],Table2[[#This Row],[Username]],Table3[Start Time],"&gt;="&amp;Table2[[#This Row],[Next On]],Table3[Rule],"Exiting Zone (Office)")</calculatedColumnFormula>
    </tableColumn>
    <tableColumn id="26" xr3:uid="{49392E16-00C3-4978-AE04-F5815B06945B}" name="Final Arrival" dataDxfId="19">
      <calculatedColumnFormula>_xlfn.MAXIFS(Table3[Start Time],Table3[Driver],Table2[[#This Row],[Username]],Table3[Start Time],"&gt;="&amp;Table2[[#This Row],[Initial Exit]],Table3[Rule],"Entering Zone (Office)")</calculatedColumnFormula>
    </tableColumn>
    <tableColumn id="30" xr3:uid="{450501F8-0007-4419-BAAD-B78529F6E76D}" name="Last Logout" dataDxfId="18">
      <calculatedColumnFormula>_xlfn.MINIFS(Table2[Date/Time],Table2[Start Date],Table2[[#This Row],[Start Date]],Table2[Username],Table2[[#This Row],[Username]],Table2[Date/Time],"&gt;="&amp;Table2[[#This Row],[Final Arrival]],Table2[Status],"Logoff")</calculatedColumnFormula>
    </tableColumn>
    <tableColumn id="17" xr3:uid="{238F542B-10FC-4626-94ED-5D78FC2A0A1A}" name="Index" dataDxfId="17" totalsRowDxfId="16">
      <calculatedColumnFormula>ROW(Data1!A2)-10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4443D-B849-42EE-ADD4-12CBE80EBE6D}">
  <sheetPr codeName="Sheet8"/>
  <dimension ref="B1:D18"/>
  <sheetViews>
    <sheetView showGridLines="0" workbookViewId="0">
      <selection activeCell="D2" sqref="D2"/>
    </sheetView>
  </sheetViews>
  <sheetFormatPr defaultColWidth="8.625" defaultRowHeight="17.25" customHeight="1" x14ac:dyDescent="0.3"/>
  <cols>
    <col min="1" max="1" width="9.375" customWidth="1"/>
    <col min="2" max="2" width="12.125" customWidth="1"/>
    <col min="3" max="3" width="16.875" customWidth="1"/>
    <col min="4" max="4" width="77.25" style="5" customWidth="1"/>
    <col min="5" max="8" width="17.375" customWidth="1"/>
  </cols>
  <sheetData>
    <row r="1" spans="2:4" s="2" customFormat="1" ht="32.25" x14ac:dyDescent="0.3">
      <c r="B1" s="1" t="s">
        <v>1</v>
      </c>
      <c r="D1" s="3"/>
    </row>
    <row r="2" spans="2:4" ht="17.25" customHeight="1" x14ac:dyDescent="0.3">
      <c r="B2" s="4" t="s">
        <v>2</v>
      </c>
    </row>
    <row r="4" spans="2:4" ht="17.25" customHeight="1" x14ac:dyDescent="0.3">
      <c r="B4" s="6" t="s">
        <v>3</v>
      </c>
      <c r="C4" s="6"/>
      <c r="D4" s="6"/>
    </row>
    <row r="5" spans="2:4" ht="17.25" customHeight="1" x14ac:dyDescent="0.3">
      <c r="B5" s="7" t="s">
        <v>4</v>
      </c>
      <c r="D5" s="8" t="s">
        <v>24</v>
      </c>
    </row>
    <row r="6" spans="2:4" ht="17.25" customHeight="1" x14ac:dyDescent="0.3">
      <c r="B6" s="7" t="s">
        <v>5</v>
      </c>
      <c r="D6" s="8" t="s">
        <v>17</v>
      </c>
    </row>
    <row r="7" spans="2:4" ht="17.25" customHeight="1" x14ac:dyDescent="0.3">
      <c r="B7" s="7" t="s">
        <v>6</v>
      </c>
      <c r="D7" s="8" t="s">
        <v>18</v>
      </c>
    </row>
    <row r="8" spans="2:4" ht="17.25" customHeight="1" x14ac:dyDescent="0.3">
      <c r="B8" s="7" t="s">
        <v>7</v>
      </c>
      <c r="D8" s="9" t="s">
        <v>19</v>
      </c>
    </row>
    <row r="9" spans="2:4" ht="17.25" customHeight="1" x14ac:dyDescent="0.3">
      <c r="B9" s="7" t="s">
        <v>8</v>
      </c>
      <c r="D9" s="8" t="s">
        <v>20</v>
      </c>
    </row>
    <row r="10" spans="2:4" ht="17.25" customHeight="1" x14ac:dyDescent="0.3">
      <c r="B10" s="7" t="s">
        <v>9</v>
      </c>
      <c r="D10" s="8" t="s">
        <v>21</v>
      </c>
    </row>
    <row r="11" spans="2:4" ht="17.25" customHeight="1" x14ac:dyDescent="0.3">
      <c r="B11" s="7" t="s">
        <v>10</v>
      </c>
      <c r="D11" s="8" t="s">
        <v>22</v>
      </c>
    </row>
    <row r="12" spans="2:4" ht="17.25" customHeight="1" x14ac:dyDescent="0.3">
      <c r="B12" s="7" t="s">
        <v>11</v>
      </c>
      <c r="D12" s="10" t="s">
        <v>23</v>
      </c>
    </row>
    <row r="13" spans="2:4" ht="17.25" customHeight="1" x14ac:dyDescent="0.3">
      <c r="B13" s="7"/>
      <c r="D13" s="10"/>
    </row>
    <row r="14" spans="2:4" ht="17.25" customHeight="1" x14ac:dyDescent="0.3">
      <c r="B14" s="11"/>
      <c r="C14" s="11"/>
      <c r="D14" s="12"/>
    </row>
    <row r="15" spans="2:4" ht="17.25" customHeight="1" x14ac:dyDescent="0.3">
      <c r="B15" s="6" t="s">
        <v>0</v>
      </c>
      <c r="C15" s="6" t="s">
        <v>12</v>
      </c>
      <c r="D15" s="13" t="s">
        <v>13</v>
      </c>
    </row>
    <row r="16" spans="2:4" s="17" customFormat="1" ht="13.5" x14ac:dyDescent="0.3">
      <c r="B16" s="14">
        <v>45355</v>
      </c>
      <c r="C16" s="15" t="s">
        <v>14</v>
      </c>
      <c r="D16" s="16" t="s">
        <v>15</v>
      </c>
    </row>
    <row r="17" spans="2:4" s="17" customFormat="1" ht="67.5" customHeight="1" x14ac:dyDescent="0.3">
      <c r="B17" s="14">
        <v>45393</v>
      </c>
      <c r="C17" s="15" t="s">
        <v>14</v>
      </c>
      <c r="D17" s="16" t="s">
        <v>16</v>
      </c>
    </row>
    <row r="18" spans="2:4" s="17" customFormat="1" ht="67.5" customHeight="1" x14ac:dyDescent="0.3">
      <c r="B18" s="14"/>
      <c r="C18" s="15"/>
      <c r="D18" s="16"/>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C51CF-6242-4D2A-8367-F4DA8198A084}">
  <dimension ref="B1:B12"/>
  <sheetViews>
    <sheetView showGridLines="0" topLeftCell="A2" workbookViewId="0"/>
  </sheetViews>
  <sheetFormatPr defaultRowHeight="17.25" customHeight="1" x14ac:dyDescent="0.3"/>
  <cols>
    <col min="2" max="2" width="37.5" style="33" customWidth="1"/>
  </cols>
  <sheetData>
    <row r="1" spans="2:2" ht="17.25" hidden="1" customHeight="1" x14ac:dyDescent="0.3"/>
    <row r="3" spans="2:2" ht="33" x14ac:dyDescent="0.3">
      <c r="B3" s="42" t="s">
        <v>62</v>
      </c>
    </row>
    <row r="4" spans="2:2" ht="17.25" customHeight="1" x14ac:dyDescent="0.3">
      <c r="B4" s="43" t="s">
        <v>36</v>
      </c>
    </row>
    <row r="5" spans="2:2" ht="17.25" customHeight="1" x14ac:dyDescent="0.3">
      <c r="B5" s="44" t="s">
        <v>63</v>
      </c>
    </row>
    <row r="6" spans="2:2" ht="17.25" customHeight="1" x14ac:dyDescent="0.3">
      <c r="B6" s="45"/>
    </row>
    <row r="7" spans="2:2" ht="17.25" customHeight="1" x14ac:dyDescent="0.3">
      <c r="B7" s="46" t="e">
        <f>IF(Data1!#REF!-Data1!#REF!&gt;1,CONCATENATE(TEXT(Data1!#REF!,"mmm dd, yyyy")," - ",TEXT(Data1!#REF!,"mmm dd, yyyy")),TEXT(Data1!#REF!,"mmmm dd, yyyy"))</f>
        <v>#REF!</v>
      </c>
    </row>
    <row r="8" spans="2:2" ht="17.25" customHeight="1" x14ac:dyDescent="0.3">
      <c r="B8" s="47"/>
    </row>
    <row r="9" spans="2:2" ht="17.25" customHeight="1" x14ac:dyDescent="0.3">
      <c r="B9" s="48"/>
    </row>
    <row r="10" spans="2:2" ht="22.5" x14ac:dyDescent="0.3">
      <c r="B10" s="49"/>
    </row>
    <row r="11" spans="2:2" ht="17.25" customHeight="1" x14ac:dyDescent="0.3">
      <c r="B11" s="50"/>
    </row>
    <row r="12" spans="2:2" ht="17.25" customHeight="1" x14ac:dyDescent="0.3">
      <c r="B12" s="51" t="s">
        <v>37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C8D37-2A5B-4F67-BCAA-BF549097BC9F}">
  <dimension ref="B1:H11"/>
  <sheetViews>
    <sheetView showGridLines="0" workbookViewId="0">
      <pane ySplit="10" topLeftCell="A11" activePane="bottomLeft" state="frozen"/>
      <selection pane="bottomLeft"/>
    </sheetView>
  </sheetViews>
  <sheetFormatPr defaultRowHeight="16.5" x14ac:dyDescent="0.3"/>
  <cols>
    <col min="1" max="1" width="9.375" customWidth="1"/>
    <col min="2" max="2" width="22.75" customWidth="1"/>
    <col min="3" max="3" width="26.25" bestFit="1" customWidth="1"/>
    <col min="4" max="5" width="19.625" customWidth="1"/>
    <col min="6" max="7" width="17.875" customWidth="1"/>
    <col min="8" max="8" width="19.625" customWidth="1"/>
    <col min="9" max="9" width="23.75" bestFit="1" customWidth="1"/>
  </cols>
  <sheetData>
    <row r="1" spans="2:8" s="19" customFormat="1" ht="32.25" x14ac:dyDescent="0.3">
      <c r="B1" s="34" t="s">
        <v>33</v>
      </c>
    </row>
    <row r="2" spans="2:8" s="19" customFormat="1" ht="17.25" customHeight="1" x14ac:dyDescent="0.3">
      <c r="B2" t="s">
        <v>34</v>
      </c>
    </row>
    <row r="3" spans="2:8" s="22" customFormat="1" ht="17.25" customHeight="1" x14ac:dyDescent="0.3"/>
    <row r="4" spans="2:8" s="22" customFormat="1" ht="17.25" customHeight="1" x14ac:dyDescent="0.3">
      <c r="B4" s="18" t="e">
        <f>IF(Data1!#REF!-Data1!#REF!&gt;1,CONCATENATE(TEXT(Data1!#REF!,"mmm dd, yyyy")," - ",TEXT(Data1!#REF!,"mmm dd, yyyy")),TEXT(Data1!#REF!,"mmmm dd, yyyy"))</f>
        <v>#REF!</v>
      </c>
    </row>
    <row r="5" spans="2:8" s="22" customFormat="1" ht="17.25" customHeight="1" x14ac:dyDescent="0.3">
      <c r="B5" s="18"/>
    </row>
    <row r="6" spans="2:8" s="22" customFormat="1" ht="17.25" customHeight="1" x14ac:dyDescent="0.3">
      <c r="B6" s="18"/>
    </row>
    <row r="8" spans="2:8" hidden="1" x14ac:dyDescent="0.3"/>
    <row r="10" spans="2:8" s="32" customFormat="1" ht="30" x14ac:dyDescent="0.2">
      <c r="B10" s="60" t="s">
        <v>27</v>
      </c>
      <c r="C10" s="60" t="s">
        <v>29</v>
      </c>
      <c r="D10" s="61" t="s">
        <v>40</v>
      </c>
      <c r="E10" s="61" t="s">
        <v>61</v>
      </c>
      <c r="F10" s="61" t="s">
        <v>58</v>
      </c>
      <c r="G10" s="61" t="s">
        <v>59</v>
      </c>
      <c r="H10" s="61" t="s">
        <v>60</v>
      </c>
    </row>
    <row r="11" spans="2:8" x14ac:dyDescent="0.3">
      <c r="B11" t="s">
        <v>41</v>
      </c>
      <c r="C11" t="s">
        <v>38</v>
      </c>
      <c r="D11" s="58">
        <v>46105.306319444448</v>
      </c>
      <c r="E11" s="58">
        <v>46105.307025462964</v>
      </c>
      <c r="F11" s="58">
        <v>0</v>
      </c>
      <c r="G11" s="58">
        <v>0</v>
      </c>
      <c r="H11" s="58">
        <v>46105.767430555556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FE5F4-429E-4A2A-B24B-33516F742493}">
  <sheetPr>
    <tabColor rgb="FF92D050"/>
  </sheetPr>
  <dimension ref="B1:Q8"/>
  <sheetViews>
    <sheetView showGridLines="0" workbookViewId="0"/>
  </sheetViews>
  <sheetFormatPr defaultRowHeight="16.5" x14ac:dyDescent="0.3"/>
  <cols>
    <col min="2" max="2" width="25.625" customWidth="1"/>
    <col min="3" max="3" width="47.625" customWidth="1"/>
    <col min="4" max="4" width="13.125" bestFit="1" customWidth="1"/>
    <col min="5" max="5" width="19" bestFit="1" customWidth="1"/>
    <col min="6" max="6" width="26.5" bestFit="1" customWidth="1"/>
    <col min="7" max="7" width="47" bestFit="1" customWidth="1"/>
    <col min="8" max="8" width="21" bestFit="1" customWidth="1"/>
    <col min="9" max="9" width="88.625" bestFit="1" customWidth="1"/>
    <col min="10" max="10" width="22.75" bestFit="1" customWidth="1"/>
    <col min="11" max="11" width="7.625" bestFit="1" customWidth="1"/>
    <col min="12" max="12" width="12.25" bestFit="1" customWidth="1"/>
    <col min="13" max="13" width="11.25" bestFit="1" customWidth="1"/>
    <col min="14" max="14" width="11.375" bestFit="1" customWidth="1"/>
    <col min="15" max="15" width="22.875" bestFit="1" customWidth="1"/>
    <col min="16" max="16" width="21" bestFit="1" customWidth="1"/>
    <col min="17" max="17" width="8.5" bestFit="1" customWidth="1"/>
  </cols>
  <sheetData>
    <row r="1" spans="2:17" s="55" customFormat="1" ht="32.25" x14ac:dyDescent="0.3">
      <c r="B1" s="54" t="s">
        <v>64</v>
      </c>
    </row>
    <row r="2" spans="2:17" s="56" customFormat="1" ht="17.25" customHeight="1" x14ac:dyDescent="0.3">
      <c r="B2" s="62" t="s">
        <v>65</v>
      </c>
    </row>
    <row r="3" spans="2:17" s="56" customFormat="1" ht="17.25" customHeight="1" x14ac:dyDescent="0.3"/>
    <row r="4" spans="2:17" s="56" customFormat="1" ht="17.25" customHeight="1" x14ac:dyDescent="0.3">
      <c r="B4" s="57" t="str">
        <f>IF(INT([1]Data!$B$3)&lt;&gt;INT([1]Data!$B$4),TEXT([1]Data!$B$3,"mmm dd, yyyy")&amp;" - "&amp;TEXT([1]Data!$B$4,"mmm dd, yyyy"),TEXT([1]Data!$B$4,"mmmm dd, yyyy"))</f>
        <v>March 24, 2026</v>
      </c>
    </row>
    <row r="7" spans="2:17" x14ac:dyDescent="0.3">
      <c r="B7" s="59" t="s">
        <v>42</v>
      </c>
      <c r="C7" s="59" t="s">
        <v>43</v>
      </c>
      <c r="D7" s="59" t="s">
        <v>44</v>
      </c>
      <c r="E7" s="59" t="s">
        <v>45</v>
      </c>
      <c r="F7" s="59" t="s">
        <v>46</v>
      </c>
      <c r="G7" s="59" t="s">
        <v>47</v>
      </c>
      <c r="H7" s="59" t="s">
        <v>48</v>
      </c>
      <c r="I7" s="59" t="s">
        <v>49</v>
      </c>
      <c r="J7" s="59" t="s">
        <v>50</v>
      </c>
      <c r="K7" s="59" t="s">
        <v>0</v>
      </c>
      <c r="L7" s="59" t="s">
        <v>51</v>
      </c>
      <c r="M7" s="59" t="s">
        <v>32</v>
      </c>
      <c r="N7" s="59" t="s">
        <v>30</v>
      </c>
      <c r="O7" s="59" t="s">
        <v>52</v>
      </c>
      <c r="P7" s="59" t="s">
        <v>53</v>
      </c>
      <c r="Q7" s="59" t="s">
        <v>26</v>
      </c>
    </row>
    <row r="8" spans="2:17" x14ac:dyDescent="0.3">
      <c r="B8" t="s">
        <v>66</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1" tint="0.499984740745262"/>
  </sheetPr>
  <dimension ref="B1:M40"/>
  <sheetViews>
    <sheetView showGridLines="0" workbookViewId="0">
      <pane ySplit="7" topLeftCell="A8" activePane="bottomLeft" state="frozen"/>
      <selection activeCell="M3" sqref="M3"/>
      <selection pane="bottomLeft"/>
    </sheetView>
  </sheetViews>
  <sheetFormatPr defaultColWidth="30.125" defaultRowHeight="16.5" customHeight="1" x14ac:dyDescent="0.3"/>
  <cols>
    <col min="1" max="1" width="9.375" style="18" customWidth="1"/>
    <col min="2" max="2" width="26" style="18" customWidth="1"/>
    <col min="3" max="3" width="26.5" style="18" bestFit="1" customWidth="1"/>
    <col min="4" max="4" width="28.125" style="18" bestFit="1" customWidth="1"/>
    <col min="5" max="5" width="12.125" style="18" bestFit="1" customWidth="1"/>
    <col min="6" max="6" width="23.75" style="27" bestFit="1" customWidth="1"/>
    <col min="7" max="7" width="8.5" style="27" bestFit="1" customWidth="1"/>
    <col min="8" max="10" width="23.75" style="27" bestFit="1" customWidth="1"/>
    <col min="11" max="12" width="23.75" style="27" customWidth="1"/>
    <col min="13" max="13" width="8.625" style="28" bestFit="1" customWidth="1"/>
    <col min="14" max="16384" width="30.125" style="18"/>
  </cols>
  <sheetData>
    <row r="1" spans="2:13" s="19" customFormat="1" ht="36" customHeight="1" x14ac:dyDescent="0.3">
      <c r="B1" s="34" t="s">
        <v>33</v>
      </c>
      <c r="C1" s="1"/>
      <c r="D1" s="1"/>
      <c r="M1" s="20"/>
    </row>
    <row r="2" spans="2:13" s="19" customFormat="1" ht="13.5" customHeight="1" x14ac:dyDescent="0.3">
      <c r="B2" t="s">
        <v>34</v>
      </c>
      <c r="C2" s="21"/>
      <c r="D2" s="21"/>
      <c r="M2" s="20"/>
    </row>
    <row r="3" spans="2:13" s="22" customFormat="1" ht="17.25" customHeight="1" x14ac:dyDescent="0.3">
      <c r="M3" s="23"/>
    </row>
    <row r="4" spans="2:13" s="22" customFormat="1" ht="17.25" customHeight="1" x14ac:dyDescent="0.3">
      <c r="B4" s="18" t="e">
        <f>IF(Data1!#REF!-Data1!#REF!&gt;1,CONCATENATE(TEXT(Data1!#REF!,"mmm dd, yyyy")," - ",TEXT(Data1!#REF!,"mmm dd, yyyy")),TEXT(Data1!#REF!,"mmmm dd, yyyy"))</f>
        <v>#REF!</v>
      </c>
      <c r="C4" s="18"/>
      <c r="D4" s="18"/>
      <c r="M4" s="23"/>
    </row>
    <row r="5" spans="2:13" s="22" customFormat="1" ht="17.25" customHeight="1" x14ac:dyDescent="0.3">
      <c r="B5" s="18"/>
      <c r="C5" s="18"/>
      <c r="D5" s="18"/>
      <c r="M5" s="23"/>
    </row>
    <row r="6" spans="2:13" s="22" customFormat="1" ht="17.25" customHeight="1" x14ac:dyDescent="0.3">
      <c r="B6" s="25"/>
      <c r="C6" s="25"/>
      <c r="D6" s="25"/>
      <c r="E6" s="25"/>
      <c r="F6" s="24"/>
      <c r="G6" s="24"/>
      <c r="H6" s="24"/>
      <c r="I6" s="24"/>
      <c r="J6" s="24"/>
      <c r="K6" s="24"/>
      <c r="L6" s="24"/>
      <c r="M6" s="23"/>
    </row>
    <row r="7" spans="2:13" s="26" customFormat="1" ht="17.25" customHeight="1" x14ac:dyDescent="0.3">
      <c r="B7" s="35" t="s">
        <v>27</v>
      </c>
      <c r="C7" s="36" t="s">
        <v>28</v>
      </c>
      <c r="D7" s="36" t="s">
        <v>29</v>
      </c>
      <c r="E7" s="35" t="s">
        <v>35</v>
      </c>
      <c r="F7" s="36" t="s">
        <v>25</v>
      </c>
      <c r="G7" s="36" t="s">
        <v>26</v>
      </c>
      <c r="H7" s="36" t="s">
        <v>39</v>
      </c>
      <c r="I7" s="36" t="s">
        <v>55</v>
      </c>
      <c r="J7" s="36" t="s">
        <v>54</v>
      </c>
      <c r="K7" s="36" t="s">
        <v>56</v>
      </c>
      <c r="L7" s="36" t="s">
        <v>57</v>
      </c>
      <c r="M7" s="35" t="s">
        <v>31</v>
      </c>
    </row>
    <row r="8" spans="2:13" x14ac:dyDescent="0.3">
      <c r="B8" s="18" t="str">
        <f>IF(ISBLANK(Data1!C2),"",PROPER(Data1!C2&amp;" "&amp;Data1!D2))</f>
        <v/>
      </c>
      <c r="C8" s="18" t="str">
        <f>IF(ISBLANK(Data1!E2),"",LOWER(Data1!E2))</f>
        <v/>
      </c>
      <c r="D8" s="18" t="str">
        <f>IF(ISBLANK(Data1!F2),"",IFERROR(LEFT(Data1!F2,SEARCH(", ",Data1!F2)-1),Data1!F2))</f>
        <v/>
      </c>
      <c r="E8" s="30" t="e">
        <f>INT(Table2[[#This Row],[Date/Time]])</f>
        <v>#VALUE!</v>
      </c>
      <c r="F8" s="29" t="str">
        <f>IF(ISBLANK(Data1!A2),"",Data1!A2)</f>
        <v/>
      </c>
      <c r="G8" s="18" t="str">
        <f>IF(ISBLANK(Data1!B2),"",Data1!B2)</f>
        <v/>
      </c>
      <c r="H8" s="29">
        <f>_xlfn.MINIFS(Table2[Date/Time],Table2[Start Date],Table2[[#This Row],[Start Date]],Table2[Username],Table2[[#This Row],[Username]],Table2[Status],"Login")</f>
        <v>0</v>
      </c>
      <c r="I8" s="29">
        <f>_xlfn.MINIFS(Table2[Date/Time],Table2[Username],Table2[[#This Row],[Username]],Table2[Date/Time],"&gt;"&amp;Table2[[#This Row],[Initial Login]],Table2[Status],"On")</f>
        <v>0</v>
      </c>
      <c r="J8" s="29">
        <f>_xlfn.MINIFS(Table3[Start Time],Table3[Driver],Table2[[#This Row],[Username]],Table3[Start Time],"&gt;="&amp;Table2[[#This Row],[Next On]],Table3[Rule],"Exiting Zone (Office)")</f>
        <v>0</v>
      </c>
      <c r="K8" s="29">
        <f>_xlfn.MAXIFS(Table3[Start Time],Table3[Driver],Table2[[#This Row],[Username]],Table3[Start Time],"&gt;="&amp;Table2[[#This Row],[Initial Exit]],Table3[Rule],"Entering Zone (Office)")</f>
        <v>0</v>
      </c>
      <c r="L8" s="29">
        <f>_xlfn.MINIFS(Table2[Date/Time],Table2[Start Date],Table2[[#This Row],[Start Date]],Table2[Username],Table2[[#This Row],[Username]],Table2[Date/Time],"&gt;="&amp;Table2[[#This Row],[Final Arrival]],Table2[Status],"Logoff")</f>
        <v>0</v>
      </c>
      <c r="M8" s="31">
        <f>ROW(Data1!A2)-10</f>
        <v>-8</v>
      </c>
    </row>
    <row r="9" spans="2:13" x14ac:dyDescent="0.3">
      <c r="B9" s="18" t="str">
        <f>IF(ISBLANK(Data1!C3),"",PROPER(Data1!C3&amp;" "&amp;Data1!D3))</f>
        <v/>
      </c>
      <c r="C9" s="18" t="str">
        <f>IF(ISBLANK(Data1!E3),"",LOWER(Data1!E3))</f>
        <v/>
      </c>
      <c r="D9" s="18" t="str">
        <f>IF(ISBLANK(Data1!F3),"",IFERROR(LEFT(Data1!F3,SEARCH(", ",Data1!F3)-1),Data1!F3))</f>
        <v/>
      </c>
      <c r="E9" s="30" t="e">
        <f>INT(Table2[[#This Row],[Date/Time]])</f>
        <v>#VALUE!</v>
      </c>
      <c r="F9" s="29" t="str">
        <f>IF(ISBLANK(Data1!A3),"",Data1!A3)</f>
        <v/>
      </c>
      <c r="G9" s="18" t="str">
        <f>IF(ISBLANK(Data1!B3),"",Data1!B3)</f>
        <v/>
      </c>
      <c r="H9" s="29">
        <f>_xlfn.MINIFS(Table2[Date/Time],Table2[Start Date],Table2[[#This Row],[Start Date]],Table2[Username],Table2[[#This Row],[Username]],Table2[Status],"Login")</f>
        <v>0</v>
      </c>
      <c r="I9" s="29">
        <f>_xlfn.MINIFS(Table2[Date/Time],Table2[Username],Table2[[#This Row],[Username]],Table2[Date/Time],"&gt;"&amp;Table2[[#This Row],[Initial Login]],Table2[Status],"On")</f>
        <v>0</v>
      </c>
      <c r="J9" s="29">
        <f>_xlfn.MINIFS(Table3[Start Time],Table3[Driver],Table2[[#This Row],[Username]],Table3[Start Time],"&gt;="&amp;Table2[[#This Row],[Next On]],Table3[Rule],"Exiting Zone (Office)")</f>
        <v>0</v>
      </c>
      <c r="K9" s="29">
        <f>_xlfn.MAXIFS(Table3[Start Time],Table3[Driver],Table2[[#This Row],[Username]],Table3[Start Time],"&gt;="&amp;Table2[[#This Row],[Initial Exit]],Table3[Rule],"Entering Zone (Office)")</f>
        <v>0</v>
      </c>
      <c r="L9" s="29">
        <f>_xlfn.MINIFS(Table2[Date/Time],Table2[Start Date],Table2[[#This Row],[Start Date]],Table2[Username],Table2[[#This Row],[Username]],Table2[Date/Time],"&gt;="&amp;Table2[[#This Row],[Final Arrival]],Table2[Status],"Logoff")</f>
        <v>0</v>
      </c>
      <c r="M9" s="31">
        <f>ROW(Data1!A3)-10</f>
        <v>-7</v>
      </c>
    </row>
    <row r="10" spans="2:13" x14ac:dyDescent="0.3">
      <c r="B10" s="18" t="str">
        <f>IF(ISBLANK(Data1!C4),"",PROPER(Data1!C4&amp;" "&amp;Data1!D4))</f>
        <v/>
      </c>
      <c r="C10" s="18" t="str">
        <f>IF(ISBLANK(Data1!E4),"",LOWER(Data1!E4))</f>
        <v/>
      </c>
      <c r="D10" s="18" t="str">
        <f>IF(ISBLANK(Data1!F4),"",IFERROR(LEFT(Data1!F4,SEARCH(", ",Data1!F4)-1),Data1!F4))</f>
        <v/>
      </c>
      <c r="E10" s="30" t="e">
        <f>INT(Table2[[#This Row],[Date/Time]])</f>
        <v>#VALUE!</v>
      </c>
      <c r="F10" s="29" t="str">
        <f>IF(ISBLANK(Data1!A4),"",Data1!A4)</f>
        <v/>
      </c>
      <c r="G10" s="18" t="str">
        <f>IF(ISBLANK(Data1!B4),"",Data1!B4)</f>
        <v/>
      </c>
      <c r="H10" s="29">
        <f>_xlfn.MINIFS(Table2[Date/Time],Table2[Start Date],Table2[[#This Row],[Start Date]],Table2[Username],Table2[[#This Row],[Username]],Table2[Status],"Login")</f>
        <v>0</v>
      </c>
      <c r="I10" s="29">
        <f>_xlfn.MINIFS(Table2[Date/Time],Table2[Username],Table2[[#This Row],[Username]],Table2[Date/Time],"&gt;"&amp;Table2[[#This Row],[Initial Login]],Table2[Status],"On")</f>
        <v>0</v>
      </c>
      <c r="J10" s="29">
        <f>_xlfn.MINIFS(Table3[Start Time],Table3[Driver],Table2[[#This Row],[Username]],Table3[Start Time],"&gt;="&amp;Table2[[#This Row],[Next On]],Table3[Rule],"Exiting Zone (Office)")</f>
        <v>0</v>
      </c>
      <c r="K10" s="29">
        <f>_xlfn.MAXIFS(Table3[Start Time],Table3[Driver],Table2[[#This Row],[Username]],Table3[Start Time],"&gt;="&amp;Table2[[#This Row],[Initial Exit]],Table3[Rule],"Entering Zone (Office)")</f>
        <v>0</v>
      </c>
      <c r="L10" s="29">
        <f>_xlfn.MINIFS(Table2[Date/Time],Table2[Start Date],Table2[[#This Row],[Start Date]],Table2[Username],Table2[[#This Row],[Username]],Table2[Date/Time],"&gt;="&amp;Table2[[#This Row],[Final Arrival]],Table2[Status],"Logoff")</f>
        <v>0</v>
      </c>
      <c r="M10" s="31">
        <f>ROW(Data1!A4)-10</f>
        <v>-6</v>
      </c>
    </row>
    <row r="11" spans="2:13" x14ac:dyDescent="0.3">
      <c r="B11" s="18" t="str">
        <f>IF(ISBLANK(Data1!C5),"",PROPER(Data1!C5&amp;" "&amp;Data1!D5))</f>
        <v/>
      </c>
      <c r="C11" s="18" t="str">
        <f>IF(ISBLANK(Data1!E5),"",LOWER(Data1!E5))</f>
        <v/>
      </c>
      <c r="D11" s="18" t="str">
        <f>IF(ISBLANK(Data1!F5),"",IFERROR(LEFT(Data1!F5,SEARCH(", ",Data1!F5)-1),Data1!F5))</f>
        <v/>
      </c>
      <c r="E11" s="30" t="e">
        <f>INT(Table2[[#This Row],[Date/Time]])</f>
        <v>#VALUE!</v>
      </c>
      <c r="F11" s="29" t="str">
        <f>IF(ISBLANK(Data1!A5),"",Data1!A5)</f>
        <v/>
      </c>
      <c r="G11" s="18" t="str">
        <f>IF(ISBLANK(Data1!B5),"",Data1!B5)</f>
        <v/>
      </c>
      <c r="H11" s="29">
        <f>_xlfn.MINIFS(Table2[Date/Time],Table2[Start Date],Table2[[#This Row],[Start Date]],Table2[Username],Table2[[#This Row],[Username]],Table2[Status],"Login")</f>
        <v>0</v>
      </c>
      <c r="I11" s="29">
        <f>_xlfn.MINIFS(Table2[Date/Time],Table2[Username],Table2[[#This Row],[Username]],Table2[Date/Time],"&gt;"&amp;Table2[[#This Row],[Initial Login]],Table2[Status],"On")</f>
        <v>0</v>
      </c>
      <c r="J11" s="29">
        <f>_xlfn.MINIFS(Table3[Start Time],Table3[Driver],Table2[[#This Row],[Username]],Table3[Start Time],"&gt;="&amp;Table2[[#This Row],[Next On]],Table3[Rule],"Exiting Zone (Office)")</f>
        <v>0</v>
      </c>
      <c r="K11" s="29">
        <f>_xlfn.MAXIFS(Table3[Start Time],Table3[Driver],Table2[[#This Row],[Username]],Table3[Start Time],"&gt;="&amp;Table2[[#This Row],[Initial Exit]],Table3[Rule],"Entering Zone (Office)")</f>
        <v>0</v>
      </c>
      <c r="L11" s="29">
        <f>_xlfn.MINIFS(Table2[Date/Time],Table2[Start Date],Table2[[#This Row],[Start Date]],Table2[Username],Table2[[#This Row],[Username]],Table2[Date/Time],"&gt;="&amp;Table2[[#This Row],[Final Arrival]],Table2[Status],"Logoff")</f>
        <v>0</v>
      </c>
      <c r="M11" s="31">
        <f>ROW(Data1!A5)-10</f>
        <v>-5</v>
      </c>
    </row>
    <row r="12" spans="2:13" x14ac:dyDescent="0.3">
      <c r="B12" s="18" t="str">
        <f>IF(ISBLANK(Data1!C6),"",PROPER(Data1!C6&amp;" "&amp;Data1!D6))</f>
        <v/>
      </c>
      <c r="C12" s="18" t="str">
        <f>IF(ISBLANK(Data1!E6),"",LOWER(Data1!E6))</f>
        <v/>
      </c>
      <c r="D12" s="18" t="str">
        <f>IF(ISBLANK(Data1!F6),"",IFERROR(LEFT(Data1!F6,SEARCH(", ",Data1!F6)-1),Data1!F6))</f>
        <v/>
      </c>
      <c r="E12" s="30" t="e">
        <f>INT(Table2[[#This Row],[Date/Time]])</f>
        <v>#VALUE!</v>
      </c>
      <c r="F12" s="29" t="str">
        <f>IF(ISBLANK(Data1!A6),"",Data1!A6)</f>
        <v/>
      </c>
      <c r="G12" s="18" t="str">
        <f>IF(ISBLANK(Data1!B6),"",Data1!B6)</f>
        <v/>
      </c>
      <c r="H12" s="29">
        <f>_xlfn.MINIFS(Table2[Date/Time],Table2[Start Date],Table2[[#This Row],[Start Date]],Table2[Username],Table2[[#This Row],[Username]],Table2[Status],"Login")</f>
        <v>0</v>
      </c>
      <c r="I12" s="29">
        <f>_xlfn.MINIFS(Table2[Date/Time],Table2[Username],Table2[[#This Row],[Username]],Table2[Date/Time],"&gt;"&amp;Table2[[#This Row],[Initial Login]],Table2[Status],"On")</f>
        <v>0</v>
      </c>
      <c r="J12" s="29">
        <f>_xlfn.MINIFS(Table3[Start Time],Table3[Driver],Table2[[#This Row],[Username]],Table3[Start Time],"&gt;="&amp;Table2[[#This Row],[Next On]],Table3[Rule],"Exiting Zone (Office)")</f>
        <v>0</v>
      </c>
      <c r="K12" s="29">
        <f>_xlfn.MAXIFS(Table3[Start Time],Table3[Driver],Table2[[#This Row],[Username]],Table3[Start Time],"&gt;="&amp;Table2[[#This Row],[Initial Exit]],Table3[Rule],"Entering Zone (Office)")</f>
        <v>0</v>
      </c>
      <c r="L12" s="29">
        <f>_xlfn.MINIFS(Table2[Date/Time],Table2[Start Date],Table2[[#This Row],[Start Date]],Table2[Username],Table2[[#This Row],[Username]],Table2[Date/Time],"&gt;="&amp;Table2[[#This Row],[Final Arrival]],Table2[Status],"Logoff")</f>
        <v>0</v>
      </c>
      <c r="M12" s="31">
        <f>ROW(Data1!A6)-10</f>
        <v>-4</v>
      </c>
    </row>
    <row r="13" spans="2:13" x14ac:dyDescent="0.3">
      <c r="B13" s="18" t="str">
        <f>IF(ISBLANK(Data1!C7),"",PROPER(Data1!C7&amp;" "&amp;Data1!D7))</f>
        <v/>
      </c>
      <c r="C13" s="18" t="str">
        <f>IF(ISBLANK(Data1!E7),"",LOWER(Data1!E7))</f>
        <v/>
      </c>
      <c r="D13" s="18" t="str">
        <f>IF(ISBLANK(Data1!F7),"",IFERROR(LEFT(Data1!F7,SEARCH(", ",Data1!F7)-1),Data1!F7))</f>
        <v/>
      </c>
      <c r="E13" s="30" t="e">
        <f>INT(Table2[[#This Row],[Date/Time]])</f>
        <v>#VALUE!</v>
      </c>
      <c r="F13" s="29" t="str">
        <f>IF(ISBLANK(Data1!A7),"",Data1!A7)</f>
        <v/>
      </c>
      <c r="G13" s="18" t="str">
        <f>IF(ISBLANK(Data1!B7),"",Data1!B7)</f>
        <v/>
      </c>
      <c r="H13" s="29">
        <f>_xlfn.MINIFS(Table2[Date/Time],Table2[Start Date],Table2[[#This Row],[Start Date]],Table2[Username],Table2[[#This Row],[Username]],Table2[Status],"Login")</f>
        <v>0</v>
      </c>
      <c r="I13" s="29">
        <f>_xlfn.MINIFS(Table2[Date/Time],Table2[Username],Table2[[#This Row],[Username]],Table2[Date/Time],"&gt;"&amp;Table2[[#This Row],[Initial Login]],Table2[Status],"On")</f>
        <v>0</v>
      </c>
      <c r="J13" s="29">
        <f>_xlfn.MINIFS(Table3[Start Time],Table3[Driver],Table2[[#This Row],[Username]],Table3[Start Time],"&gt;="&amp;Table2[[#This Row],[Next On]],Table3[Rule],"Exiting Zone (Office)")</f>
        <v>0</v>
      </c>
      <c r="K13" s="29">
        <f>_xlfn.MAXIFS(Table3[Start Time],Table3[Driver],Table2[[#This Row],[Username]],Table3[Start Time],"&gt;="&amp;Table2[[#This Row],[Initial Exit]],Table3[Rule],"Entering Zone (Office)")</f>
        <v>0</v>
      </c>
      <c r="L13" s="29">
        <f>_xlfn.MINIFS(Table2[Date/Time],Table2[Start Date],Table2[[#This Row],[Start Date]],Table2[Username],Table2[[#This Row],[Username]],Table2[Date/Time],"&gt;="&amp;Table2[[#This Row],[Final Arrival]],Table2[Status],"Logoff")</f>
        <v>0</v>
      </c>
      <c r="M13" s="31">
        <f>ROW(Data1!A7)-10</f>
        <v>-3</v>
      </c>
    </row>
    <row r="14" spans="2:13" x14ac:dyDescent="0.3">
      <c r="B14" s="18" t="str">
        <f>IF(ISBLANK(Data1!C8),"",PROPER(Data1!C8&amp;" "&amp;Data1!D8))</f>
        <v/>
      </c>
      <c r="C14" s="18" t="str">
        <f>IF(ISBLANK(Data1!E8),"",LOWER(Data1!E8))</f>
        <v/>
      </c>
      <c r="D14" s="18" t="str">
        <f>IF(ISBLANK(Data1!F8),"",IFERROR(LEFT(Data1!F8,SEARCH(", ",Data1!F8)-1),Data1!F8))</f>
        <v/>
      </c>
      <c r="E14" s="30" t="e">
        <f>INT(Table2[[#This Row],[Date/Time]])</f>
        <v>#VALUE!</v>
      </c>
      <c r="F14" s="29" t="str">
        <f>IF(ISBLANK(Data1!A8),"",Data1!A8)</f>
        <v/>
      </c>
      <c r="G14" s="18" t="str">
        <f>IF(ISBLANK(Data1!B8),"",Data1!B8)</f>
        <v/>
      </c>
      <c r="H14" s="29">
        <f>_xlfn.MINIFS(Table2[Date/Time],Table2[Start Date],Table2[[#This Row],[Start Date]],Table2[Username],Table2[[#This Row],[Username]],Table2[Status],"Login")</f>
        <v>0</v>
      </c>
      <c r="I14" s="29">
        <f>_xlfn.MINIFS(Table2[Date/Time],Table2[Username],Table2[[#This Row],[Username]],Table2[Date/Time],"&gt;"&amp;Table2[[#This Row],[Initial Login]],Table2[Status],"On")</f>
        <v>0</v>
      </c>
      <c r="J14" s="29">
        <f>_xlfn.MINIFS(Table3[Start Time],Table3[Driver],Table2[[#This Row],[Username]],Table3[Start Time],"&gt;="&amp;Table2[[#This Row],[Next On]],Table3[Rule],"Exiting Zone (Office)")</f>
        <v>0</v>
      </c>
      <c r="K14" s="29">
        <f>_xlfn.MAXIFS(Table3[Start Time],Table3[Driver],Table2[[#This Row],[Username]],Table3[Start Time],"&gt;="&amp;Table2[[#This Row],[Initial Exit]],Table3[Rule],"Entering Zone (Office)")</f>
        <v>0</v>
      </c>
      <c r="L14" s="29">
        <f>_xlfn.MINIFS(Table2[Date/Time],Table2[Start Date],Table2[[#This Row],[Start Date]],Table2[Username],Table2[[#This Row],[Username]],Table2[Date/Time],"&gt;="&amp;Table2[[#This Row],[Final Arrival]],Table2[Status],"Logoff")</f>
        <v>0</v>
      </c>
      <c r="M14" s="31">
        <f>ROW(Data1!A8)-10</f>
        <v>-2</v>
      </c>
    </row>
    <row r="15" spans="2:13" x14ac:dyDescent="0.3">
      <c r="B15" s="18" t="str">
        <f>IF(ISBLANK(Data1!C9),"",PROPER(Data1!C9&amp;" "&amp;Data1!D9))</f>
        <v/>
      </c>
      <c r="C15" s="18" t="str">
        <f>IF(ISBLANK(Data1!E9),"",LOWER(Data1!E9))</f>
        <v/>
      </c>
      <c r="D15" s="18" t="str">
        <f>IF(ISBLANK(Data1!F9),"",IFERROR(LEFT(Data1!F9,SEARCH(", ",Data1!F9)-1),Data1!F9))</f>
        <v/>
      </c>
      <c r="E15" s="30" t="e">
        <f>INT(Table2[[#This Row],[Date/Time]])</f>
        <v>#VALUE!</v>
      </c>
      <c r="F15" s="29" t="str">
        <f>IF(ISBLANK(Data1!A9),"",Data1!A9)</f>
        <v/>
      </c>
      <c r="G15" s="18" t="str">
        <f>IF(ISBLANK(Data1!B9),"",Data1!B9)</f>
        <v/>
      </c>
      <c r="H15" s="29">
        <f>_xlfn.MINIFS(Table2[Date/Time],Table2[Start Date],Table2[[#This Row],[Start Date]],Table2[Username],Table2[[#This Row],[Username]],Table2[Status],"Login")</f>
        <v>0</v>
      </c>
      <c r="I15" s="29">
        <f>_xlfn.MINIFS(Table2[Date/Time],Table2[Username],Table2[[#This Row],[Username]],Table2[Date/Time],"&gt;"&amp;Table2[[#This Row],[Initial Login]],Table2[Status],"On")</f>
        <v>0</v>
      </c>
      <c r="J15" s="29">
        <f>_xlfn.MINIFS(Table3[Start Time],Table3[Driver],Table2[[#This Row],[Username]],Table3[Start Time],"&gt;="&amp;Table2[[#This Row],[Next On]],Table3[Rule],"Exiting Zone (Office)")</f>
        <v>0</v>
      </c>
      <c r="K15" s="29">
        <f>_xlfn.MAXIFS(Table3[Start Time],Table3[Driver],Table2[[#This Row],[Username]],Table3[Start Time],"&gt;="&amp;Table2[[#This Row],[Initial Exit]],Table3[Rule],"Entering Zone (Office)")</f>
        <v>0</v>
      </c>
      <c r="L15" s="29">
        <f>_xlfn.MINIFS(Table2[Date/Time],Table2[Start Date],Table2[[#This Row],[Start Date]],Table2[Username],Table2[[#This Row],[Username]],Table2[Date/Time],"&gt;="&amp;Table2[[#This Row],[Final Arrival]],Table2[Status],"Logoff")</f>
        <v>0</v>
      </c>
      <c r="M15" s="31">
        <f>ROW(Data1!A9)-10</f>
        <v>-1</v>
      </c>
    </row>
    <row r="16" spans="2:13" x14ac:dyDescent="0.3">
      <c r="B16" s="18" t="str">
        <f>IF(ISBLANK(Data1!C10),"",PROPER(Data1!C10&amp;" "&amp;Data1!D10))</f>
        <v/>
      </c>
      <c r="C16" s="18" t="str">
        <f>IF(ISBLANK(Data1!E10),"",LOWER(Data1!E10))</f>
        <v/>
      </c>
      <c r="D16" s="18" t="str">
        <f>IF(ISBLANK(Data1!F10),"",IFERROR(LEFT(Data1!F10,SEARCH(", ",Data1!F10)-1),Data1!F10))</f>
        <v/>
      </c>
      <c r="E16" s="30" t="e">
        <f>INT(Table2[[#This Row],[Date/Time]])</f>
        <v>#VALUE!</v>
      </c>
      <c r="F16" s="29" t="str">
        <f>IF(ISBLANK(Data1!A10),"",Data1!A10)</f>
        <v/>
      </c>
      <c r="G16" s="18" t="str">
        <f>IF(ISBLANK(Data1!B10),"",Data1!B10)</f>
        <v/>
      </c>
      <c r="H16" s="29">
        <f>_xlfn.MINIFS(Table2[Date/Time],Table2[Start Date],Table2[[#This Row],[Start Date]],Table2[Username],Table2[[#This Row],[Username]],Table2[Status],"Login")</f>
        <v>0</v>
      </c>
      <c r="I16" s="29">
        <f>_xlfn.MINIFS(Table2[Date/Time],Table2[Username],Table2[[#This Row],[Username]],Table2[Date/Time],"&gt;"&amp;Table2[[#This Row],[Initial Login]],Table2[Status],"On")</f>
        <v>0</v>
      </c>
      <c r="J16" s="29">
        <f>_xlfn.MINIFS(Table3[Start Time],Table3[Driver],Table2[[#This Row],[Username]],Table3[Start Time],"&gt;="&amp;Table2[[#This Row],[Next On]],Table3[Rule],"Exiting Zone (Office)")</f>
        <v>0</v>
      </c>
      <c r="K16" s="29">
        <f>_xlfn.MAXIFS(Table3[Start Time],Table3[Driver],Table2[[#This Row],[Username]],Table3[Start Time],"&gt;="&amp;Table2[[#This Row],[Initial Exit]],Table3[Rule],"Entering Zone (Office)")</f>
        <v>0</v>
      </c>
      <c r="L16" s="29">
        <f>_xlfn.MINIFS(Table2[Date/Time],Table2[Start Date],Table2[[#This Row],[Start Date]],Table2[Username],Table2[[#This Row],[Username]],Table2[Date/Time],"&gt;="&amp;Table2[[#This Row],[Final Arrival]],Table2[Status],"Logoff")</f>
        <v>0</v>
      </c>
      <c r="M16" s="31">
        <f>ROW(Data1!A10)-10</f>
        <v>0</v>
      </c>
    </row>
    <row r="17" spans="2:13" x14ac:dyDescent="0.3">
      <c r="B17" s="18" t="str">
        <f>IF(ISBLANK(Data1!C11),"",PROPER(Data1!C11&amp;" "&amp;Data1!D11))</f>
        <v/>
      </c>
      <c r="C17" s="18" t="str">
        <f>IF(ISBLANK(Data1!E11),"",LOWER(Data1!E11))</f>
        <v/>
      </c>
      <c r="D17" s="18" t="str">
        <f>IF(ISBLANK(Data1!F11),"",IFERROR(LEFT(Data1!F11,SEARCH(", ",Data1!F11)-1),Data1!F11))</f>
        <v/>
      </c>
      <c r="E17" s="30" t="e">
        <f>INT(Table2[[#This Row],[Date/Time]])</f>
        <v>#VALUE!</v>
      </c>
      <c r="F17" s="29" t="str">
        <f>IF(ISBLANK(Data1!A11),"",Data1!A11)</f>
        <v/>
      </c>
      <c r="G17" s="18" t="str">
        <f>IF(ISBLANK(Data1!B11),"",Data1!B11)</f>
        <v/>
      </c>
      <c r="H17" s="29">
        <f>_xlfn.MINIFS(Table2[Date/Time],Table2[Start Date],Table2[[#This Row],[Start Date]],Table2[Username],Table2[[#This Row],[Username]],Table2[Status],"Login")</f>
        <v>0</v>
      </c>
      <c r="I17" s="29">
        <f>_xlfn.MINIFS(Table2[Date/Time],Table2[Username],Table2[[#This Row],[Username]],Table2[Date/Time],"&gt;"&amp;Table2[[#This Row],[Initial Login]],Table2[Status],"On")</f>
        <v>0</v>
      </c>
      <c r="J17" s="29">
        <f>_xlfn.MINIFS(Table3[Start Time],Table3[Driver],Table2[[#This Row],[Username]],Table3[Start Time],"&gt;="&amp;Table2[[#This Row],[Next On]],Table3[Rule],"Exiting Zone (Office)")</f>
        <v>0</v>
      </c>
      <c r="K17" s="29">
        <f>_xlfn.MAXIFS(Table3[Start Time],Table3[Driver],Table2[[#This Row],[Username]],Table3[Start Time],"&gt;="&amp;Table2[[#This Row],[Initial Exit]],Table3[Rule],"Entering Zone (Office)")</f>
        <v>0</v>
      </c>
      <c r="L17" s="29">
        <f>_xlfn.MINIFS(Table2[Date/Time],Table2[Start Date],Table2[[#This Row],[Start Date]],Table2[Username],Table2[[#This Row],[Username]],Table2[Date/Time],"&gt;="&amp;Table2[[#This Row],[Final Arrival]],Table2[Status],"Logoff")</f>
        <v>0</v>
      </c>
      <c r="M17" s="31">
        <f>ROW(Data1!A11)-10</f>
        <v>1</v>
      </c>
    </row>
    <row r="18" spans="2:13" x14ac:dyDescent="0.3">
      <c r="B18" s="18" t="str">
        <f>IF(ISBLANK(Data1!C12),"",PROPER(Data1!C12&amp;" "&amp;Data1!D12))</f>
        <v/>
      </c>
      <c r="C18" s="18" t="str">
        <f>IF(ISBLANK(Data1!E12),"",LOWER(Data1!E12))</f>
        <v/>
      </c>
      <c r="D18" s="18" t="str">
        <f>IF(ISBLANK(Data1!F12),"",IFERROR(LEFT(Data1!F12,SEARCH(", ",Data1!F12)-1),Data1!F12))</f>
        <v/>
      </c>
      <c r="E18" s="30" t="e">
        <f>INT(Table2[[#This Row],[Date/Time]])</f>
        <v>#VALUE!</v>
      </c>
      <c r="F18" s="29" t="str">
        <f>IF(ISBLANK(Data1!A12),"",Data1!A12)</f>
        <v/>
      </c>
      <c r="G18" s="18" t="str">
        <f>IF(ISBLANK(Data1!B12),"",Data1!B12)</f>
        <v/>
      </c>
      <c r="H18" s="29">
        <f>_xlfn.MINIFS(Table2[Date/Time],Table2[Start Date],Table2[[#This Row],[Start Date]],Table2[Username],Table2[[#This Row],[Username]],Table2[Status],"Login")</f>
        <v>0</v>
      </c>
      <c r="I18" s="29">
        <f>_xlfn.MINIFS(Table2[Date/Time],Table2[Username],Table2[[#This Row],[Username]],Table2[Date/Time],"&gt;"&amp;Table2[[#This Row],[Initial Login]],Table2[Status],"On")</f>
        <v>0</v>
      </c>
      <c r="J18" s="29">
        <f>_xlfn.MINIFS(Table3[Start Time],Table3[Driver],Table2[[#This Row],[Username]],Table3[Start Time],"&gt;="&amp;Table2[[#This Row],[Next On]],Table3[Rule],"Exiting Zone (Office)")</f>
        <v>0</v>
      </c>
      <c r="K18" s="29">
        <f>_xlfn.MAXIFS(Table3[Start Time],Table3[Driver],Table2[[#This Row],[Username]],Table3[Start Time],"&gt;="&amp;Table2[[#This Row],[Initial Exit]],Table3[Rule],"Entering Zone (Office)")</f>
        <v>0</v>
      </c>
      <c r="L18" s="29">
        <f>_xlfn.MINIFS(Table2[Date/Time],Table2[Start Date],Table2[[#This Row],[Start Date]],Table2[Username],Table2[[#This Row],[Username]],Table2[Date/Time],"&gt;="&amp;Table2[[#This Row],[Final Arrival]],Table2[Status],"Logoff")</f>
        <v>0</v>
      </c>
      <c r="M18" s="31">
        <f>ROW(Data1!A12)-10</f>
        <v>2</v>
      </c>
    </row>
    <row r="19" spans="2:13" x14ac:dyDescent="0.3">
      <c r="B19" s="18" t="str">
        <f>IF(ISBLANK(Data1!C13),"",PROPER(Data1!C13&amp;" "&amp;Data1!D13))</f>
        <v/>
      </c>
      <c r="C19" s="18" t="str">
        <f>IF(ISBLANK(Data1!E13),"",LOWER(Data1!E13))</f>
        <v/>
      </c>
      <c r="D19" s="18" t="str">
        <f>IF(ISBLANK(Data1!F13),"",IFERROR(LEFT(Data1!F13,SEARCH(", ",Data1!F13)-1),Data1!F13))</f>
        <v/>
      </c>
      <c r="E19" s="30" t="e">
        <f>INT(Table2[[#This Row],[Date/Time]])</f>
        <v>#VALUE!</v>
      </c>
      <c r="F19" s="29" t="str">
        <f>IF(ISBLANK(Data1!A13),"",Data1!A13)</f>
        <v/>
      </c>
      <c r="G19" s="18" t="str">
        <f>IF(ISBLANK(Data1!B13),"",Data1!B13)</f>
        <v/>
      </c>
      <c r="H19" s="29">
        <f>_xlfn.MINIFS(Table2[Date/Time],Table2[Start Date],Table2[[#This Row],[Start Date]],Table2[Username],Table2[[#This Row],[Username]],Table2[Status],"Login")</f>
        <v>0</v>
      </c>
      <c r="I19" s="29">
        <f>_xlfn.MINIFS(Table2[Date/Time],Table2[Username],Table2[[#This Row],[Username]],Table2[Date/Time],"&gt;"&amp;Table2[[#This Row],[Initial Login]],Table2[Status],"On")</f>
        <v>0</v>
      </c>
      <c r="J19" s="29">
        <f>_xlfn.MINIFS(Table3[Start Time],Table3[Driver],Table2[[#This Row],[Username]],Table3[Start Time],"&gt;="&amp;Table2[[#This Row],[Next On]],Table3[Rule],"Exiting Zone (Office)")</f>
        <v>0</v>
      </c>
      <c r="K19" s="29">
        <f>_xlfn.MAXIFS(Table3[Start Time],Table3[Driver],Table2[[#This Row],[Username]],Table3[Start Time],"&gt;="&amp;Table2[[#This Row],[Initial Exit]],Table3[Rule],"Entering Zone (Office)")</f>
        <v>0</v>
      </c>
      <c r="L19" s="29">
        <f>_xlfn.MINIFS(Table2[Date/Time],Table2[Start Date],Table2[[#This Row],[Start Date]],Table2[Username],Table2[[#This Row],[Username]],Table2[Date/Time],"&gt;="&amp;Table2[[#This Row],[Final Arrival]],Table2[Status],"Logoff")</f>
        <v>0</v>
      </c>
      <c r="M19" s="31">
        <f>ROW(Data1!A13)-10</f>
        <v>3</v>
      </c>
    </row>
    <row r="20" spans="2:13" x14ac:dyDescent="0.3">
      <c r="B20" s="18" t="str">
        <f>IF(ISBLANK(Data1!C14),"",PROPER(Data1!C14&amp;" "&amp;Data1!D14))</f>
        <v/>
      </c>
      <c r="C20" s="18" t="str">
        <f>IF(ISBLANK(Data1!E14),"",LOWER(Data1!E14))</f>
        <v/>
      </c>
      <c r="D20" s="18" t="str">
        <f>IF(ISBLANK(Data1!F14),"",IFERROR(LEFT(Data1!F14,SEARCH(", ",Data1!F14)-1),Data1!F14))</f>
        <v/>
      </c>
      <c r="E20" s="30" t="e">
        <f>INT(Table2[[#This Row],[Date/Time]])</f>
        <v>#VALUE!</v>
      </c>
      <c r="F20" s="29" t="str">
        <f>IF(ISBLANK(Data1!A14),"",Data1!A14)</f>
        <v/>
      </c>
      <c r="G20" s="18" t="str">
        <f>IF(ISBLANK(Data1!B14),"",Data1!B14)</f>
        <v/>
      </c>
      <c r="H20" s="29">
        <f>_xlfn.MINIFS(Table2[Date/Time],Table2[Start Date],Table2[[#This Row],[Start Date]],Table2[Username],Table2[[#This Row],[Username]],Table2[Status],"Login")</f>
        <v>0</v>
      </c>
      <c r="I20" s="29">
        <f>_xlfn.MINIFS(Table2[Date/Time],Table2[Username],Table2[[#This Row],[Username]],Table2[Date/Time],"&gt;"&amp;Table2[[#This Row],[Initial Login]],Table2[Status],"On")</f>
        <v>0</v>
      </c>
      <c r="J20" s="29">
        <f>_xlfn.MINIFS(Table3[Start Time],Table3[Driver],Table2[[#This Row],[Username]],Table3[Start Time],"&gt;="&amp;Table2[[#This Row],[Next On]],Table3[Rule],"Exiting Zone (Office)")</f>
        <v>0</v>
      </c>
      <c r="K20" s="29">
        <f>_xlfn.MAXIFS(Table3[Start Time],Table3[Driver],Table2[[#This Row],[Username]],Table3[Start Time],"&gt;="&amp;Table2[[#This Row],[Initial Exit]],Table3[Rule],"Entering Zone (Office)")</f>
        <v>0</v>
      </c>
      <c r="L20" s="29">
        <f>_xlfn.MINIFS(Table2[Date/Time],Table2[Start Date],Table2[[#This Row],[Start Date]],Table2[Username],Table2[[#This Row],[Username]],Table2[Date/Time],"&gt;="&amp;Table2[[#This Row],[Final Arrival]],Table2[Status],"Logoff")</f>
        <v>0</v>
      </c>
      <c r="M20" s="31">
        <f>ROW(Data1!A14)-10</f>
        <v>4</v>
      </c>
    </row>
    <row r="21" spans="2:13" x14ac:dyDescent="0.3">
      <c r="B21" s="18" t="str">
        <f>IF(ISBLANK(Data1!C15),"",PROPER(Data1!C15&amp;" "&amp;Data1!D15))</f>
        <v/>
      </c>
      <c r="C21" s="18" t="str">
        <f>IF(ISBLANK(Data1!E15),"",LOWER(Data1!E15))</f>
        <v/>
      </c>
      <c r="D21" s="18" t="str">
        <f>IF(ISBLANK(Data1!F15),"",IFERROR(LEFT(Data1!F15,SEARCH(", ",Data1!F15)-1),Data1!F15))</f>
        <v/>
      </c>
      <c r="E21" s="30" t="e">
        <f>INT(Table2[[#This Row],[Date/Time]])</f>
        <v>#VALUE!</v>
      </c>
      <c r="F21" s="29" t="str">
        <f>IF(ISBLANK(Data1!A15),"",Data1!A15)</f>
        <v/>
      </c>
      <c r="G21" s="18" t="str">
        <f>IF(ISBLANK(Data1!B15),"",Data1!B15)</f>
        <v/>
      </c>
      <c r="H21" s="29">
        <f>_xlfn.MINIFS(Table2[Date/Time],Table2[Start Date],Table2[[#This Row],[Start Date]],Table2[Username],Table2[[#This Row],[Username]],Table2[Status],"Login")</f>
        <v>0</v>
      </c>
      <c r="I21" s="29">
        <f>_xlfn.MINIFS(Table2[Date/Time],Table2[Username],Table2[[#This Row],[Username]],Table2[Date/Time],"&gt;"&amp;Table2[[#This Row],[Initial Login]],Table2[Status],"On")</f>
        <v>0</v>
      </c>
      <c r="J21" s="29">
        <f>_xlfn.MINIFS(Table3[Start Time],Table3[Driver],Table2[[#This Row],[Username]],Table3[Start Time],"&gt;="&amp;Table2[[#This Row],[Next On]],Table3[Rule],"Exiting Zone (Office)")</f>
        <v>0</v>
      </c>
      <c r="K21" s="29">
        <f>_xlfn.MAXIFS(Table3[Start Time],Table3[Driver],Table2[[#This Row],[Username]],Table3[Start Time],"&gt;="&amp;Table2[[#This Row],[Initial Exit]],Table3[Rule],"Entering Zone (Office)")</f>
        <v>0</v>
      </c>
      <c r="L21" s="29">
        <f>_xlfn.MINIFS(Table2[Date/Time],Table2[Start Date],Table2[[#This Row],[Start Date]],Table2[Username],Table2[[#This Row],[Username]],Table2[Date/Time],"&gt;="&amp;Table2[[#This Row],[Final Arrival]],Table2[Status],"Logoff")</f>
        <v>0</v>
      </c>
      <c r="M21" s="31">
        <f>ROW(Data1!A15)-10</f>
        <v>5</v>
      </c>
    </row>
    <row r="22" spans="2:13" x14ac:dyDescent="0.3">
      <c r="B22" s="18" t="str">
        <f>IF(ISBLANK(Data1!C16),"",PROPER(Data1!C16&amp;" "&amp;Data1!D16))</f>
        <v/>
      </c>
      <c r="C22" s="18" t="str">
        <f>IF(ISBLANK(Data1!E16),"",LOWER(Data1!E16))</f>
        <v/>
      </c>
      <c r="D22" s="18" t="str">
        <f>IF(ISBLANK(Data1!F16),"",IFERROR(LEFT(Data1!F16,SEARCH(", ",Data1!F16)-1),Data1!F16))</f>
        <v/>
      </c>
      <c r="E22" s="30" t="e">
        <f>INT(Table2[[#This Row],[Date/Time]])</f>
        <v>#VALUE!</v>
      </c>
      <c r="F22" s="29" t="str">
        <f>IF(ISBLANK(Data1!A16),"",Data1!A16)</f>
        <v/>
      </c>
      <c r="G22" s="18" t="str">
        <f>IF(ISBLANK(Data1!B16),"",Data1!B16)</f>
        <v/>
      </c>
      <c r="H22" s="29">
        <f>_xlfn.MINIFS(Table2[Date/Time],Table2[Start Date],Table2[[#This Row],[Start Date]],Table2[Username],Table2[[#This Row],[Username]],Table2[Status],"Login")</f>
        <v>0</v>
      </c>
      <c r="I22" s="29">
        <f>_xlfn.MINIFS(Table2[Date/Time],Table2[Username],Table2[[#This Row],[Username]],Table2[Date/Time],"&gt;"&amp;Table2[[#This Row],[Initial Login]],Table2[Status],"On")</f>
        <v>0</v>
      </c>
      <c r="J22" s="29">
        <f>_xlfn.MINIFS(Table3[Start Time],Table3[Driver],Table2[[#This Row],[Username]],Table3[Start Time],"&gt;="&amp;Table2[[#This Row],[Next On]],Table3[Rule],"Exiting Zone (Office)")</f>
        <v>0</v>
      </c>
      <c r="K22" s="29">
        <f>_xlfn.MAXIFS(Table3[Start Time],Table3[Driver],Table2[[#This Row],[Username]],Table3[Start Time],"&gt;="&amp;Table2[[#This Row],[Initial Exit]],Table3[Rule],"Entering Zone (Office)")</f>
        <v>0</v>
      </c>
      <c r="L22" s="29">
        <f>_xlfn.MINIFS(Table2[Date/Time],Table2[Start Date],Table2[[#This Row],[Start Date]],Table2[Username],Table2[[#This Row],[Username]],Table2[Date/Time],"&gt;="&amp;Table2[[#This Row],[Final Arrival]],Table2[Status],"Logoff")</f>
        <v>0</v>
      </c>
      <c r="M22" s="31">
        <f>ROW(Data1!A16)-10</f>
        <v>6</v>
      </c>
    </row>
    <row r="23" spans="2:13" x14ac:dyDescent="0.3">
      <c r="B23" s="18" t="str">
        <f>IF(ISBLANK(Data1!C17),"",PROPER(Data1!C17&amp;" "&amp;Data1!D17))</f>
        <v/>
      </c>
      <c r="C23" s="18" t="str">
        <f>IF(ISBLANK(Data1!E17),"",LOWER(Data1!E17))</f>
        <v/>
      </c>
      <c r="D23" s="18" t="str">
        <f>IF(ISBLANK(Data1!F17),"",IFERROR(LEFT(Data1!F17,SEARCH(", ",Data1!F17)-1),Data1!F17))</f>
        <v/>
      </c>
      <c r="E23" s="30" t="e">
        <f>INT(Table2[[#This Row],[Date/Time]])</f>
        <v>#VALUE!</v>
      </c>
      <c r="F23" s="29" t="str">
        <f>IF(ISBLANK(Data1!A17),"",Data1!A17)</f>
        <v/>
      </c>
      <c r="G23" s="18" t="str">
        <f>IF(ISBLANK(Data1!B17),"",Data1!B17)</f>
        <v/>
      </c>
      <c r="H23" s="29">
        <f>_xlfn.MINIFS(Table2[Date/Time],Table2[Start Date],Table2[[#This Row],[Start Date]],Table2[Username],Table2[[#This Row],[Username]],Table2[Status],"Login")</f>
        <v>0</v>
      </c>
      <c r="I23" s="29">
        <f>_xlfn.MINIFS(Table2[Date/Time],Table2[Username],Table2[[#This Row],[Username]],Table2[Date/Time],"&gt;"&amp;Table2[[#This Row],[Initial Login]],Table2[Status],"On")</f>
        <v>0</v>
      </c>
      <c r="J23" s="29">
        <f>_xlfn.MINIFS(Table3[Start Time],Table3[Driver],Table2[[#This Row],[Username]],Table3[Start Time],"&gt;="&amp;Table2[[#This Row],[Next On]],Table3[Rule],"Exiting Zone (Office)")</f>
        <v>0</v>
      </c>
      <c r="K23" s="29">
        <f>_xlfn.MAXIFS(Table3[Start Time],Table3[Driver],Table2[[#This Row],[Username]],Table3[Start Time],"&gt;="&amp;Table2[[#This Row],[Initial Exit]],Table3[Rule],"Entering Zone (Office)")</f>
        <v>0</v>
      </c>
      <c r="L23" s="29">
        <f>_xlfn.MINIFS(Table2[Date/Time],Table2[Start Date],Table2[[#This Row],[Start Date]],Table2[Username],Table2[[#This Row],[Username]],Table2[Date/Time],"&gt;="&amp;Table2[[#This Row],[Final Arrival]],Table2[Status],"Logoff")</f>
        <v>0</v>
      </c>
      <c r="M23" s="31">
        <f>ROW(Data1!A17)-10</f>
        <v>7</v>
      </c>
    </row>
    <row r="24" spans="2:13" x14ac:dyDescent="0.3">
      <c r="B24" s="18" t="str">
        <f>IF(ISBLANK(Data1!C18),"",PROPER(Data1!C18&amp;" "&amp;Data1!D18))</f>
        <v/>
      </c>
      <c r="C24" s="18" t="str">
        <f>IF(ISBLANK(Data1!E18),"",LOWER(Data1!E18))</f>
        <v/>
      </c>
      <c r="D24" s="18" t="str">
        <f>IF(ISBLANK(Data1!F18),"",IFERROR(LEFT(Data1!F18,SEARCH(", ",Data1!F18)-1),Data1!F18))</f>
        <v/>
      </c>
      <c r="E24" s="30" t="e">
        <f>INT(Table2[[#This Row],[Date/Time]])</f>
        <v>#VALUE!</v>
      </c>
      <c r="F24" s="29" t="str">
        <f>IF(ISBLANK(Data1!A18),"",Data1!A18)</f>
        <v/>
      </c>
      <c r="G24" s="18" t="str">
        <f>IF(ISBLANK(Data1!B18),"",Data1!B18)</f>
        <v/>
      </c>
      <c r="H24" s="29">
        <f>_xlfn.MINIFS(Table2[Date/Time],Table2[Start Date],Table2[[#This Row],[Start Date]],Table2[Username],Table2[[#This Row],[Username]],Table2[Status],"Login")</f>
        <v>0</v>
      </c>
      <c r="I24" s="29">
        <f>_xlfn.MINIFS(Table2[Date/Time],Table2[Username],Table2[[#This Row],[Username]],Table2[Date/Time],"&gt;"&amp;Table2[[#This Row],[Initial Login]],Table2[Status],"On")</f>
        <v>0</v>
      </c>
      <c r="J24" s="29">
        <f>_xlfn.MINIFS(Table3[Start Time],Table3[Driver],Table2[[#This Row],[Username]],Table3[Start Time],"&gt;="&amp;Table2[[#This Row],[Next On]],Table3[Rule],"Exiting Zone (Office)")</f>
        <v>0</v>
      </c>
      <c r="K24" s="29">
        <f>_xlfn.MAXIFS(Table3[Start Time],Table3[Driver],Table2[[#This Row],[Username]],Table3[Start Time],"&gt;="&amp;Table2[[#This Row],[Initial Exit]],Table3[Rule],"Entering Zone (Office)")</f>
        <v>0</v>
      </c>
      <c r="L24" s="29">
        <f>_xlfn.MINIFS(Table2[Date/Time],Table2[Start Date],Table2[[#This Row],[Start Date]],Table2[Username],Table2[[#This Row],[Username]],Table2[Date/Time],"&gt;="&amp;Table2[[#This Row],[Final Arrival]],Table2[Status],"Logoff")</f>
        <v>0</v>
      </c>
      <c r="M24" s="31">
        <f>ROW(Data1!A18)-10</f>
        <v>8</v>
      </c>
    </row>
    <row r="25" spans="2:13" x14ac:dyDescent="0.3">
      <c r="B25" s="18" t="str">
        <f>IF(ISBLANK(Data1!C19),"",PROPER(Data1!C19&amp;" "&amp;Data1!D19))</f>
        <v/>
      </c>
      <c r="C25" s="18" t="str">
        <f>IF(ISBLANK(Data1!E19),"",LOWER(Data1!E19))</f>
        <v/>
      </c>
      <c r="D25" s="18" t="str">
        <f>IF(ISBLANK(Data1!F19),"",IFERROR(LEFT(Data1!F19,SEARCH(", ",Data1!F19)-1),Data1!F19))</f>
        <v/>
      </c>
      <c r="E25" s="30" t="e">
        <f>INT(Table2[[#This Row],[Date/Time]])</f>
        <v>#VALUE!</v>
      </c>
      <c r="F25" s="29" t="str">
        <f>IF(ISBLANK(Data1!A19),"",Data1!A19)</f>
        <v/>
      </c>
      <c r="G25" s="18" t="str">
        <f>IF(ISBLANK(Data1!B19),"",Data1!B19)</f>
        <v/>
      </c>
      <c r="H25" s="29">
        <f>_xlfn.MINIFS(Table2[Date/Time],Table2[Start Date],Table2[[#This Row],[Start Date]],Table2[Username],Table2[[#This Row],[Username]],Table2[Status],"Login")</f>
        <v>0</v>
      </c>
      <c r="I25" s="29">
        <f>_xlfn.MINIFS(Table2[Date/Time],Table2[Username],Table2[[#This Row],[Username]],Table2[Date/Time],"&gt;"&amp;Table2[[#This Row],[Initial Login]],Table2[Status],"On")</f>
        <v>0</v>
      </c>
      <c r="J25" s="29">
        <f>_xlfn.MINIFS(Table3[Start Time],Table3[Driver],Table2[[#This Row],[Username]],Table3[Start Time],"&gt;="&amp;Table2[[#This Row],[Next On]],Table3[Rule],"Exiting Zone (Office)")</f>
        <v>0</v>
      </c>
      <c r="K25" s="29">
        <f>_xlfn.MAXIFS(Table3[Start Time],Table3[Driver],Table2[[#This Row],[Username]],Table3[Start Time],"&gt;="&amp;Table2[[#This Row],[Initial Exit]],Table3[Rule],"Entering Zone (Office)")</f>
        <v>0</v>
      </c>
      <c r="L25" s="29">
        <f>_xlfn.MINIFS(Table2[Date/Time],Table2[Start Date],Table2[[#This Row],[Start Date]],Table2[Username],Table2[[#This Row],[Username]],Table2[Date/Time],"&gt;="&amp;Table2[[#This Row],[Final Arrival]],Table2[Status],"Logoff")</f>
        <v>0</v>
      </c>
      <c r="M25" s="31">
        <f>ROW(Data1!A19)-10</f>
        <v>9</v>
      </c>
    </row>
    <row r="26" spans="2:13" x14ac:dyDescent="0.3">
      <c r="B26" s="18" t="str">
        <f>IF(ISBLANK(Data1!C20),"",PROPER(Data1!C20&amp;" "&amp;Data1!D20))</f>
        <v/>
      </c>
      <c r="C26" s="18" t="str">
        <f>IF(ISBLANK(Data1!E20),"",LOWER(Data1!E20))</f>
        <v/>
      </c>
      <c r="D26" s="18" t="str">
        <f>IF(ISBLANK(Data1!F20),"",IFERROR(LEFT(Data1!F20,SEARCH(", ",Data1!F20)-1),Data1!F20))</f>
        <v/>
      </c>
      <c r="E26" s="30" t="e">
        <f>INT(Table2[[#This Row],[Date/Time]])</f>
        <v>#VALUE!</v>
      </c>
      <c r="F26" s="29" t="str">
        <f>IF(ISBLANK(Data1!A20),"",Data1!A20)</f>
        <v/>
      </c>
      <c r="G26" s="18" t="str">
        <f>IF(ISBLANK(Data1!B20),"",Data1!B20)</f>
        <v/>
      </c>
      <c r="H26" s="29">
        <f>_xlfn.MINIFS(Table2[Date/Time],Table2[Start Date],Table2[[#This Row],[Start Date]],Table2[Username],Table2[[#This Row],[Username]],Table2[Status],"Login")</f>
        <v>0</v>
      </c>
      <c r="I26" s="29">
        <f>_xlfn.MINIFS(Table2[Date/Time],Table2[Username],Table2[[#This Row],[Username]],Table2[Date/Time],"&gt;"&amp;Table2[[#This Row],[Initial Login]],Table2[Status],"On")</f>
        <v>0</v>
      </c>
      <c r="J26" s="29">
        <f>_xlfn.MINIFS(Table3[Start Time],Table3[Driver],Table2[[#This Row],[Username]],Table3[Start Time],"&gt;="&amp;Table2[[#This Row],[Next On]],Table3[Rule],"Exiting Zone (Office)")</f>
        <v>0</v>
      </c>
      <c r="K26" s="29">
        <f>_xlfn.MAXIFS(Table3[Start Time],Table3[Driver],Table2[[#This Row],[Username]],Table3[Start Time],"&gt;="&amp;Table2[[#This Row],[Initial Exit]],Table3[Rule],"Entering Zone (Office)")</f>
        <v>0</v>
      </c>
      <c r="L26" s="29">
        <f>_xlfn.MINIFS(Table2[Date/Time],Table2[Start Date],Table2[[#This Row],[Start Date]],Table2[Username],Table2[[#This Row],[Username]],Table2[Date/Time],"&gt;="&amp;Table2[[#This Row],[Final Arrival]],Table2[Status],"Logoff")</f>
        <v>0</v>
      </c>
      <c r="M26" s="31">
        <f>ROW(Data1!A20)-10</f>
        <v>10</v>
      </c>
    </row>
    <row r="27" spans="2:13" x14ac:dyDescent="0.3">
      <c r="B27" s="18" t="str">
        <f>IF(ISBLANK(Data1!C21),"",PROPER(Data1!C21&amp;" "&amp;Data1!D21))</f>
        <v/>
      </c>
      <c r="C27" s="18" t="str">
        <f>IF(ISBLANK(Data1!E21),"",LOWER(Data1!E21))</f>
        <v/>
      </c>
      <c r="D27" s="18" t="str">
        <f>IF(ISBLANK(Data1!F21),"",IFERROR(LEFT(Data1!F21,SEARCH(", ",Data1!F21)-1),Data1!F21))</f>
        <v/>
      </c>
      <c r="E27" s="30" t="e">
        <f>INT(Table2[[#This Row],[Date/Time]])</f>
        <v>#VALUE!</v>
      </c>
      <c r="F27" s="29" t="str">
        <f>IF(ISBLANK(Data1!A21),"",Data1!A21)</f>
        <v/>
      </c>
      <c r="G27" s="18" t="str">
        <f>IF(ISBLANK(Data1!B21),"",Data1!B21)</f>
        <v/>
      </c>
      <c r="H27" s="29">
        <f>_xlfn.MINIFS(Table2[Date/Time],Table2[Start Date],Table2[[#This Row],[Start Date]],Table2[Username],Table2[[#This Row],[Username]],Table2[Status],"Login")</f>
        <v>0</v>
      </c>
      <c r="I27" s="29">
        <f>_xlfn.MINIFS(Table2[Date/Time],Table2[Username],Table2[[#This Row],[Username]],Table2[Date/Time],"&gt;"&amp;Table2[[#This Row],[Initial Login]],Table2[Status],"On")</f>
        <v>0</v>
      </c>
      <c r="J27" s="29">
        <f>_xlfn.MINIFS(Table3[Start Time],Table3[Driver],Table2[[#This Row],[Username]],Table3[Start Time],"&gt;="&amp;Table2[[#This Row],[Next On]],Table3[Rule],"Exiting Zone (Office)")</f>
        <v>0</v>
      </c>
      <c r="K27" s="29">
        <f>_xlfn.MAXIFS(Table3[Start Time],Table3[Driver],Table2[[#This Row],[Username]],Table3[Start Time],"&gt;="&amp;Table2[[#This Row],[Initial Exit]],Table3[Rule],"Entering Zone (Office)")</f>
        <v>0</v>
      </c>
      <c r="L27" s="29">
        <f>_xlfn.MINIFS(Table2[Date/Time],Table2[Start Date],Table2[[#This Row],[Start Date]],Table2[Username],Table2[[#This Row],[Username]],Table2[Date/Time],"&gt;="&amp;Table2[[#This Row],[Final Arrival]],Table2[Status],"Logoff")</f>
        <v>0</v>
      </c>
      <c r="M27" s="31">
        <f>ROW(Data1!A21)-10</f>
        <v>11</v>
      </c>
    </row>
    <row r="28" spans="2:13" x14ac:dyDescent="0.3">
      <c r="B28" s="18" t="str">
        <f>IF(ISBLANK(Data1!C22),"",PROPER(Data1!C22&amp;" "&amp;Data1!D22))</f>
        <v/>
      </c>
      <c r="C28" s="18" t="str">
        <f>IF(ISBLANK(Data1!E22),"",LOWER(Data1!E22))</f>
        <v/>
      </c>
      <c r="D28" s="18" t="str">
        <f>IF(ISBLANK(Data1!F22),"",IFERROR(LEFT(Data1!F22,SEARCH(", ",Data1!F22)-1),Data1!F22))</f>
        <v/>
      </c>
      <c r="E28" s="30" t="e">
        <f>INT(Table2[[#This Row],[Date/Time]])</f>
        <v>#VALUE!</v>
      </c>
      <c r="F28" s="29" t="str">
        <f>IF(ISBLANK(Data1!A22),"",Data1!A22)</f>
        <v/>
      </c>
      <c r="G28" s="18" t="str">
        <f>IF(ISBLANK(Data1!B22),"",Data1!B22)</f>
        <v/>
      </c>
      <c r="H28" s="29">
        <f>_xlfn.MINIFS(Table2[Date/Time],Table2[Start Date],Table2[[#This Row],[Start Date]],Table2[Username],Table2[[#This Row],[Username]],Table2[Status],"Login")</f>
        <v>0</v>
      </c>
      <c r="I28" s="29">
        <f>_xlfn.MINIFS(Table2[Date/Time],Table2[Username],Table2[[#This Row],[Username]],Table2[Date/Time],"&gt;"&amp;Table2[[#This Row],[Initial Login]],Table2[Status],"On")</f>
        <v>0</v>
      </c>
      <c r="J28" s="29">
        <f>_xlfn.MINIFS(Table3[Start Time],Table3[Driver],Table2[[#This Row],[Username]],Table3[Start Time],"&gt;="&amp;Table2[[#This Row],[Next On]],Table3[Rule],"Exiting Zone (Office)")</f>
        <v>0</v>
      </c>
      <c r="K28" s="29">
        <f>_xlfn.MAXIFS(Table3[Start Time],Table3[Driver],Table2[[#This Row],[Username]],Table3[Start Time],"&gt;="&amp;Table2[[#This Row],[Initial Exit]],Table3[Rule],"Entering Zone (Office)")</f>
        <v>0</v>
      </c>
      <c r="L28" s="29">
        <f>_xlfn.MINIFS(Table2[Date/Time],Table2[Start Date],Table2[[#This Row],[Start Date]],Table2[Username],Table2[[#This Row],[Username]],Table2[Date/Time],"&gt;="&amp;Table2[[#This Row],[Final Arrival]],Table2[Status],"Logoff")</f>
        <v>0</v>
      </c>
      <c r="M28" s="31">
        <f>ROW(Data1!A22)-10</f>
        <v>12</v>
      </c>
    </row>
    <row r="29" spans="2:13" x14ac:dyDescent="0.3">
      <c r="B29" s="18" t="str">
        <f>IF(ISBLANK(Data1!C23),"",PROPER(Data1!C23&amp;" "&amp;Data1!D23))</f>
        <v/>
      </c>
      <c r="C29" s="18" t="str">
        <f>IF(ISBLANK(Data1!E23),"",LOWER(Data1!E23))</f>
        <v/>
      </c>
      <c r="D29" s="18" t="str">
        <f>IF(ISBLANK(Data1!F23),"",IFERROR(LEFT(Data1!F23,SEARCH(", ",Data1!F23)-1),Data1!F23))</f>
        <v/>
      </c>
      <c r="E29" s="30" t="e">
        <f>INT(Table2[[#This Row],[Date/Time]])</f>
        <v>#VALUE!</v>
      </c>
      <c r="F29" s="29" t="str">
        <f>IF(ISBLANK(Data1!A23),"",Data1!A23)</f>
        <v/>
      </c>
      <c r="G29" s="18" t="str">
        <f>IF(ISBLANK(Data1!B23),"",Data1!B23)</f>
        <v/>
      </c>
      <c r="H29" s="29">
        <f>_xlfn.MINIFS(Table2[Date/Time],Table2[Start Date],Table2[[#This Row],[Start Date]],Table2[Username],Table2[[#This Row],[Username]],Table2[Status],"Login")</f>
        <v>0</v>
      </c>
      <c r="I29" s="29">
        <f>_xlfn.MINIFS(Table2[Date/Time],Table2[Username],Table2[[#This Row],[Username]],Table2[Date/Time],"&gt;"&amp;Table2[[#This Row],[Initial Login]],Table2[Status],"On")</f>
        <v>0</v>
      </c>
      <c r="J29" s="29">
        <f>_xlfn.MINIFS(Table3[Start Time],Table3[Driver],Table2[[#This Row],[Username]],Table3[Start Time],"&gt;="&amp;Table2[[#This Row],[Next On]],Table3[Rule],"Exiting Zone (Office)")</f>
        <v>0</v>
      </c>
      <c r="K29" s="29">
        <f>_xlfn.MAXIFS(Table3[Start Time],Table3[Driver],Table2[[#This Row],[Username]],Table3[Start Time],"&gt;="&amp;Table2[[#This Row],[Initial Exit]],Table3[Rule],"Entering Zone (Office)")</f>
        <v>0</v>
      </c>
      <c r="L29" s="29">
        <f>_xlfn.MINIFS(Table2[Date/Time],Table2[Start Date],Table2[[#This Row],[Start Date]],Table2[Username],Table2[[#This Row],[Username]],Table2[Date/Time],"&gt;="&amp;Table2[[#This Row],[Final Arrival]],Table2[Status],"Logoff")</f>
        <v>0</v>
      </c>
      <c r="M29" s="31">
        <f>ROW(Data1!A23)-10</f>
        <v>13</v>
      </c>
    </row>
    <row r="30" spans="2:13" x14ac:dyDescent="0.3">
      <c r="B30" s="18" t="str">
        <f>IF(ISBLANK(Data1!C24),"",PROPER(Data1!C24&amp;" "&amp;Data1!D24))</f>
        <v/>
      </c>
      <c r="C30" s="18" t="str">
        <f>IF(ISBLANK(Data1!E24),"",LOWER(Data1!E24))</f>
        <v/>
      </c>
      <c r="D30" s="18" t="str">
        <f>IF(ISBLANK(Data1!F24),"",IFERROR(LEFT(Data1!F24,SEARCH(", ",Data1!F24)-1),Data1!F24))</f>
        <v/>
      </c>
      <c r="E30" s="30" t="e">
        <f>INT(Table2[[#This Row],[Date/Time]])</f>
        <v>#VALUE!</v>
      </c>
      <c r="F30" s="29" t="str">
        <f>IF(ISBLANK(Data1!A24),"",Data1!A24)</f>
        <v/>
      </c>
      <c r="G30" s="18" t="str">
        <f>IF(ISBLANK(Data1!B24),"",Data1!B24)</f>
        <v/>
      </c>
      <c r="H30" s="29">
        <f>_xlfn.MINIFS(Table2[Date/Time],Table2[Start Date],Table2[[#This Row],[Start Date]],Table2[Username],Table2[[#This Row],[Username]],Table2[Status],"Login")</f>
        <v>0</v>
      </c>
      <c r="I30" s="29">
        <f>_xlfn.MINIFS(Table2[Date/Time],Table2[Username],Table2[[#This Row],[Username]],Table2[Date/Time],"&gt;"&amp;Table2[[#This Row],[Initial Login]],Table2[Status],"On")</f>
        <v>0</v>
      </c>
      <c r="J30" s="29">
        <f>_xlfn.MINIFS(Table3[Start Time],Table3[Driver],Table2[[#This Row],[Username]],Table3[Start Time],"&gt;="&amp;Table2[[#This Row],[Next On]],Table3[Rule],"Exiting Zone (Office)")</f>
        <v>0</v>
      </c>
      <c r="K30" s="29">
        <f>_xlfn.MAXIFS(Table3[Start Time],Table3[Driver],Table2[[#This Row],[Username]],Table3[Start Time],"&gt;="&amp;Table2[[#This Row],[Initial Exit]],Table3[Rule],"Entering Zone (Office)")</f>
        <v>0</v>
      </c>
      <c r="L30" s="29">
        <f>_xlfn.MINIFS(Table2[Date/Time],Table2[Start Date],Table2[[#This Row],[Start Date]],Table2[Username],Table2[[#This Row],[Username]],Table2[Date/Time],"&gt;="&amp;Table2[[#This Row],[Final Arrival]],Table2[Status],"Logoff")</f>
        <v>0</v>
      </c>
      <c r="M30" s="31">
        <f>ROW(Data1!A24)-10</f>
        <v>14</v>
      </c>
    </row>
    <row r="31" spans="2:13" x14ac:dyDescent="0.3">
      <c r="B31" s="18" t="str">
        <f>IF(ISBLANK(Data1!C25),"",PROPER(Data1!C25&amp;" "&amp;Data1!D25))</f>
        <v/>
      </c>
      <c r="C31" s="18" t="str">
        <f>IF(ISBLANK(Data1!E25),"",LOWER(Data1!E25))</f>
        <v/>
      </c>
      <c r="D31" s="18" t="str">
        <f>IF(ISBLANK(Data1!F25),"",IFERROR(LEFT(Data1!F25,SEARCH(", ",Data1!F25)-1),Data1!F25))</f>
        <v/>
      </c>
      <c r="E31" s="30" t="e">
        <f>INT(Table2[[#This Row],[Date/Time]])</f>
        <v>#VALUE!</v>
      </c>
      <c r="F31" s="29" t="str">
        <f>IF(ISBLANK(Data1!A25),"",Data1!A25)</f>
        <v/>
      </c>
      <c r="G31" s="18" t="str">
        <f>IF(ISBLANK(Data1!B25),"",Data1!B25)</f>
        <v/>
      </c>
      <c r="H31" s="29">
        <f>_xlfn.MINIFS(Table2[Date/Time],Table2[Start Date],Table2[[#This Row],[Start Date]],Table2[Username],Table2[[#This Row],[Username]],Table2[Status],"Login")</f>
        <v>0</v>
      </c>
      <c r="I31" s="29">
        <f>_xlfn.MINIFS(Table2[Date/Time],Table2[Username],Table2[[#This Row],[Username]],Table2[Date/Time],"&gt;"&amp;Table2[[#This Row],[Initial Login]],Table2[Status],"On")</f>
        <v>0</v>
      </c>
      <c r="J31" s="29">
        <f>_xlfn.MINIFS(Table3[Start Time],Table3[Driver],Table2[[#This Row],[Username]],Table3[Start Time],"&gt;="&amp;Table2[[#This Row],[Next On]],Table3[Rule],"Exiting Zone (Office)")</f>
        <v>0</v>
      </c>
      <c r="K31" s="29">
        <f>_xlfn.MAXIFS(Table3[Start Time],Table3[Driver],Table2[[#This Row],[Username]],Table3[Start Time],"&gt;="&amp;Table2[[#This Row],[Initial Exit]],Table3[Rule],"Entering Zone (Office)")</f>
        <v>0</v>
      </c>
      <c r="L31" s="29">
        <f>_xlfn.MINIFS(Table2[Date/Time],Table2[Start Date],Table2[[#This Row],[Start Date]],Table2[Username],Table2[[#This Row],[Username]],Table2[Date/Time],"&gt;="&amp;Table2[[#This Row],[Final Arrival]],Table2[Status],"Logoff")</f>
        <v>0</v>
      </c>
      <c r="M31" s="31">
        <f>ROW(Data1!A25)-10</f>
        <v>15</v>
      </c>
    </row>
    <row r="32" spans="2:13" x14ac:dyDescent="0.3">
      <c r="B32" s="18" t="str">
        <f>IF(ISBLANK(Data1!C26),"",PROPER(Data1!C26&amp;" "&amp;Data1!D26))</f>
        <v/>
      </c>
      <c r="C32" s="18" t="str">
        <f>IF(ISBLANK(Data1!E26),"",LOWER(Data1!E26))</f>
        <v/>
      </c>
      <c r="D32" s="18" t="str">
        <f>IF(ISBLANK(Data1!F26),"",IFERROR(LEFT(Data1!F26,SEARCH(", ",Data1!F26)-1),Data1!F26))</f>
        <v/>
      </c>
      <c r="E32" s="30" t="e">
        <f>INT(Table2[[#This Row],[Date/Time]])</f>
        <v>#VALUE!</v>
      </c>
      <c r="F32" s="29" t="str">
        <f>IF(ISBLANK(Data1!A26),"",Data1!A26)</f>
        <v/>
      </c>
      <c r="G32" s="18" t="str">
        <f>IF(ISBLANK(Data1!B26),"",Data1!B26)</f>
        <v/>
      </c>
      <c r="H32" s="29">
        <f>_xlfn.MINIFS(Table2[Date/Time],Table2[Start Date],Table2[[#This Row],[Start Date]],Table2[Username],Table2[[#This Row],[Username]],Table2[Status],"Login")</f>
        <v>0</v>
      </c>
      <c r="I32" s="29">
        <f>_xlfn.MINIFS(Table2[Date/Time],Table2[Username],Table2[[#This Row],[Username]],Table2[Date/Time],"&gt;"&amp;Table2[[#This Row],[Initial Login]],Table2[Status],"On")</f>
        <v>0</v>
      </c>
      <c r="J32" s="29">
        <f>_xlfn.MINIFS(Table3[Start Time],Table3[Driver],Table2[[#This Row],[Username]],Table3[Start Time],"&gt;="&amp;Table2[[#This Row],[Next On]],Table3[Rule],"Exiting Zone (Office)")</f>
        <v>0</v>
      </c>
      <c r="K32" s="29">
        <f>_xlfn.MAXIFS(Table3[Start Time],Table3[Driver],Table2[[#This Row],[Username]],Table3[Start Time],"&gt;="&amp;Table2[[#This Row],[Initial Exit]],Table3[Rule],"Entering Zone (Office)")</f>
        <v>0</v>
      </c>
      <c r="L32" s="29">
        <f>_xlfn.MINIFS(Table2[Date/Time],Table2[Start Date],Table2[[#This Row],[Start Date]],Table2[Username],Table2[[#This Row],[Username]],Table2[Date/Time],"&gt;="&amp;Table2[[#This Row],[Final Arrival]],Table2[Status],"Logoff")</f>
        <v>0</v>
      </c>
      <c r="M32" s="31">
        <f>ROW(Data1!A26)-10</f>
        <v>16</v>
      </c>
    </row>
    <row r="33" spans="2:13" x14ac:dyDescent="0.3">
      <c r="B33" s="18" t="str">
        <f>IF(ISBLANK(Data1!C27),"",PROPER(Data1!C27&amp;" "&amp;Data1!D27))</f>
        <v/>
      </c>
      <c r="C33" s="18" t="str">
        <f>IF(ISBLANK(Data1!E27),"",LOWER(Data1!E27))</f>
        <v/>
      </c>
      <c r="D33" s="18" t="str">
        <f>IF(ISBLANK(Data1!F27),"",IFERROR(LEFT(Data1!F27,SEARCH(", ",Data1!F27)-1),Data1!F27))</f>
        <v/>
      </c>
      <c r="E33" s="30" t="e">
        <f>INT(Table2[[#This Row],[Date/Time]])</f>
        <v>#VALUE!</v>
      </c>
      <c r="F33" s="29" t="str">
        <f>IF(ISBLANK(Data1!A27),"",Data1!A27)</f>
        <v/>
      </c>
      <c r="G33" s="18" t="str">
        <f>IF(ISBLANK(Data1!B27),"",Data1!B27)</f>
        <v/>
      </c>
      <c r="H33" s="29">
        <f>_xlfn.MINIFS(Table2[Date/Time],Table2[Start Date],Table2[[#This Row],[Start Date]],Table2[Username],Table2[[#This Row],[Username]],Table2[Status],"Login")</f>
        <v>0</v>
      </c>
      <c r="I33" s="29">
        <f>_xlfn.MINIFS(Table2[Date/Time],Table2[Username],Table2[[#This Row],[Username]],Table2[Date/Time],"&gt;"&amp;Table2[[#This Row],[Initial Login]],Table2[Status],"On")</f>
        <v>0</v>
      </c>
      <c r="J33" s="29">
        <f>_xlfn.MINIFS(Table3[Start Time],Table3[Driver],Table2[[#This Row],[Username]],Table3[Start Time],"&gt;="&amp;Table2[[#This Row],[Next On]],Table3[Rule],"Exiting Zone (Office)")</f>
        <v>0</v>
      </c>
      <c r="K33" s="29">
        <f>_xlfn.MAXIFS(Table3[Start Time],Table3[Driver],Table2[[#This Row],[Username]],Table3[Start Time],"&gt;="&amp;Table2[[#This Row],[Initial Exit]],Table3[Rule],"Entering Zone (Office)")</f>
        <v>0</v>
      </c>
      <c r="L33" s="29">
        <f>_xlfn.MINIFS(Table2[Date/Time],Table2[Start Date],Table2[[#This Row],[Start Date]],Table2[Username],Table2[[#This Row],[Username]],Table2[Date/Time],"&gt;="&amp;Table2[[#This Row],[Final Arrival]],Table2[Status],"Logoff")</f>
        <v>0</v>
      </c>
      <c r="M33" s="31">
        <f>ROW(Data1!A27)-10</f>
        <v>17</v>
      </c>
    </row>
    <row r="34" spans="2:13" x14ac:dyDescent="0.3">
      <c r="B34" s="18" t="str">
        <f>IF(ISBLANK(Data1!C28),"",PROPER(Data1!C28&amp;" "&amp;Data1!D28))</f>
        <v/>
      </c>
      <c r="C34" s="18" t="str">
        <f>IF(ISBLANK(Data1!E28),"",LOWER(Data1!E28))</f>
        <v/>
      </c>
      <c r="D34" s="18" t="str">
        <f>IF(ISBLANK(Data1!F28),"",IFERROR(LEFT(Data1!F28,SEARCH(", ",Data1!F28)-1),Data1!F28))</f>
        <v/>
      </c>
      <c r="E34" s="30" t="e">
        <f>INT(Table2[[#This Row],[Date/Time]])</f>
        <v>#VALUE!</v>
      </c>
      <c r="F34" s="29" t="str">
        <f>IF(ISBLANK(Data1!A28),"",Data1!A28)</f>
        <v/>
      </c>
      <c r="G34" s="18" t="str">
        <f>IF(ISBLANK(Data1!B28),"",Data1!B28)</f>
        <v/>
      </c>
      <c r="H34" s="29">
        <f>_xlfn.MINIFS(Table2[Date/Time],Table2[Start Date],Table2[[#This Row],[Start Date]],Table2[Username],Table2[[#This Row],[Username]],Table2[Status],"Login")</f>
        <v>0</v>
      </c>
      <c r="I34" s="29">
        <f>_xlfn.MINIFS(Table2[Date/Time],Table2[Username],Table2[[#This Row],[Username]],Table2[Date/Time],"&gt;"&amp;Table2[[#This Row],[Initial Login]],Table2[Status],"On")</f>
        <v>0</v>
      </c>
      <c r="J34" s="29">
        <f>_xlfn.MINIFS(Table3[Start Time],Table3[Driver],Table2[[#This Row],[Username]],Table3[Start Time],"&gt;="&amp;Table2[[#This Row],[Next On]],Table3[Rule],"Exiting Zone (Office)")</f>
        <v>0</v>
      </c>
      <c r="K34" s="29">
        <f>_xlfn.MAXIFS(Table3[Start Time],Table3[Driver],Table2[[#This Row],[Username]],Table3[Start Time],"&gt;="&amp;Table2[[#This Row],[Initial Exit]],Table3[Rule],"Entering Zone (Office)")</f>
        <v>0</v>
      </c>
      <c r="L34" s="29">
        <f>_xlfn.MINIFS(Table2[Date/Time],Table2[Start Date],Table2[[#This Row],[Start Date]],Table2[Username],Table2[[#This Row],[Username]],Table2[Date/Time],"&gt;="&amp;Table2[[#This Row],[Final Arrival]],Table2[Status],"Logoff")</f>
        <v>0</v>
      </c>
      <c r="M34" s="31">
        <f>ROW(Data1!A28)-10</f>
        <v>18</v>
      </c>
    </row>
    <row r="35" spans="2:13" x14ac:dyDescent="0.3">
      <c r="B35" s="18" t="str">
        <f>IF(ISBLANK(Data1!C29),"",PROPER(Data1!C29&amp;" "&amp;Data1!D29))</f>
        <v/>
      </c>
      <c r="C35" s="18" t="str">
        <f>IF(ISBLANK(Data1!E29),"",LOWER(Data1!E29))</f>
        <v/>
      </c>
      <c r="D35" s="18" t="str">
        <f>IF(ISBLANK(Data1!F29),"",IFERROR(LEFT(Data1!F29,SEARCH(", ",Data1!F29)-1),Data1!F29))</f>
        <v/>
      </c>
      <c r="E35" s="30" t="e">
        <f>INT(Table2[[#This Row],[Date/Time]])</f>
        <v>#VALUE!</v>
      </c>
      <c r="F35" s="29" t="str">
        <f>IF(ISBLANK(Data1!A29),"",Data1!A29)</f>
        <v/>
      </c>
      <c r="G35" s="18" t="str">
        <f>IF(ISBLANK(Data1!B29),"",Data1!B29)</f>
        <v/>
      </c>
      <c r="H35" s="29">
        <f>_xlfn.MINIFS(Table2[Date/Time],Table2[Start Date],Table2[[#This Row],[Start Date]],Table2[Username],Table2[[#This Row],[Username]],Table2[Status],"Login")</f>
        <v>0</v>
      </c>
      <c r="I35" s="29">
        <f>_xlfn.MINIFS(Table2[Date/Time],Table2[Username],Table2[[#This Row],[Username]],Table2[Date/Time],"&gt;"&amp;Table2[[#This Row],[Initial Login]],Table2[Status],"On")</f>
        <v>0</v>
      </c>
      <c r="J35" s="29">
        <f>_xlfn.MINIFS(Table3[Start Time],Table3[Driver],Table2[[#This Row],[Username]],Table3[Start Time],"&gt;="&amp;Table2[[#This Row],[Next On]],Table3[Rule],"Exiting Zone (Office)")</f>
        <v>0</v>
      </c>
      <c r="K35" s="29">
        <f>_xlfn.MAXIFS(Table3[Start Time],Table3[Driver],Table2[[#This Row],[Username]],Table3[Start Time],"&gt;="&amp;Table2[[#This Row],[Initial Exit]],Table3[Rule],"Entering Zone (Office)")</f>
        <v>0</v>
      </c>
      <c r="L35" s="29">
        <f>_xlfn.MINIFS(Table2[Date/Time],Table2[Start Date],Table2[[#This Row],[Start Date]],Table2[Username],Table2[[#This Row],[Username]],Table2[Date/Time],"&gt;="&amp;Table2[[#This Row],[Final Arrival]],Table2[Status],"Logoff")</f>
        <v>0</v>
      </c>
      <c r="M35" s="31">
        <f>ROW(Data1!A29)-10</f>
        <v>19</v>
      </c>
    </row>
    <row r="36" spans="2:13" x14ac:dyDescent="0.3">
      <c r="B36" s="18" t="str">
        <f>IF(ISBLANK(Data1!C30),"",PROPER(Data1!C30&amp;" "&amp;Data1!D30))</f>
        <v/>
      </c>
      <c r="C36" s="18" t="str">
        <f>IF(ISBLANK(Data1!E30),"",LOWER(Data1!E30))</f>
        <v/>
      </c>
      <c r="D36" s="18" t="str">
        <f>IF(ISBLANK(Data1!F30),"",IFERROR(LEFT(Data1!F30,SEARCH(", ",Data1!F30)-1),Data1!F30))</f>
        <v/>
      </c>
      <c r="E36" s="30" t="e">
        <f>INT(Table2[[#This Row],[Date/Time]])</f>
        <v>#VALUE!</v>
      </c>
      <c r="F36" s="29" t="str">
        <f>IF(ISBLANK(Data1!A30),"",Data1!A30)</f>
        <v/>
      </c>
      <c r="G36" s="18" t="str">
        <f>IF(ISBLANK(Data1!B30),"",Data1!B30)</f>
        <v/>
      </c>
      <c r="H36" s="29">
        <f>_xlfn.MINIFS(Table2[Date/Time],Table2[Start Date],Table2[[#This Row],[Start Date]],Table2[Username],Table2[[#This Row],[Username]],Table2[Status],"Login")</f>
        <v>0</v>
      </c>
      <c r="I36" s="29">
        <f>_xlfn.MINIFS(Table2[Date/Time],Table2[Username],Table2[[#This Row],[Username]],Table2[Date/Time],"&gt;"&amp;Table2[[#This Row],[Initial Login]],Table2[Status],"On")</f>
        <v>0</v>
      </c>
      <c r="J36" s="29">
        <f>_xlfn.MINIFS(Table3[Start Time],Table3[Driver],Table2[[#This Row],[Username]],Table3[Start Time],"&gt;="&amp;Table2[[#This Row],[Next On]],Table3[Rule],"Exiting Zone (Office)")</f>
        <v>0</v>
      </c>
      <c r="K36" s="29">
        <f>_xlfn.MAXIFS(Table3[Start Time],Table3[Driver],Table2[[#This Row],[Username]],Table3[Start Time],"&gt;="&amp;Table2[[#This Row],[Initial Exit]],Table3[Rule],"Entering Zone (Office)")</f>
        <v>0</v>
      </c>
      <c r="L36" s="29">
        <f>_xlfn.MINIFS(Table2[Date/Time],Table2[Start Date],Table2[[#This Row],[Start Date]],Table2[Username],Table2[[#This Row],[Username]],Table2[Date/Time],"&gt;="&amp;Table2[[#This Row],[Final Arrival]],Table2[Status],"Logoff")</f>
        <v>0</v>
      </c>
      <c r="M36" s="31">
        <f>ROW(Data1!A30)-10</f>
        <v>20</v>
      </c>
    </row>
    <row r="37" spans="2:13" x14ac:dyDescent="0.3">
      <c r="B37" s="18" t="str">
        <f>IF(ISBLANK(Data1!C31),"",PROPER(Data1!C31&amp;" "&amp;Data1!D31))</f>
        <v/>
      </c>
      <c r="C37" s="18" t="str">
        <f>IF(ISBLANK(Data1!E31),"",LOWER(Data1!E31))</f>
        <v/>
      </c>
      <c r="D37" s="18" t="str">
        <f>IF(ISBLANK(Data1!F31),"",IFERROR(LEFT(Data1!F31,SEARCH(", ",Data1!F31)-1),Data1!F31))</f>
        <v/>
      </c>
      <c r="E37" s="30" t="e">
        <f>INT(Table2[[#This Row],[Date/Time]])</f>
        <v>#VALUE!</v>
      </c>
      <c r="F37" s="29" t="str">
        <f>IF(ISBLANK(Data1!A31),"",Data1!A31)</f>
        <v/>
      </c>
      <c r="G37" s="18" t="str">
        <f>IF(ISBLANK(Data1!B31),"",Data1!B31)</f>
        <v/>
      </c>
      <c r="H37" s="29">
        <f>_xlfn.MINIFS(Table2[Date/Time],Table2[Start Date],Table2[[#This Row],[Start Date]],Table2[Username],Table2[[#This Row],[Username]],Table2[Status],"Login")</f>
        <v>0</v>
      </c>
      <c r="I37" s="29">
        <f>_xlfn.MINIFS(Table2[Date/Time],Table2[Username],Table2[[#This Row],[Username]],Table2[Date/Time],"&gt;"&amp;Table2[[#This Row],[Initial Login]],Table2[Status],"On")</f>
        <v>0</v>
      </c>
      <c r="J37" s="29">
        <f>_xlfn.MINIFS(Table3[Start Time],Table3[Driver],Table2[[#This Row],[Username]],Table3[Start Time],"&gt;="&amp;Table2[[#This Row],[Next On]],Table3[Rule],"Exiting Zone (Office)")</f>
        <v>0</v>
      </c>
      <c r="K37" s="29">
        <f>_xlfn.MAXIFS(Table3[Start Time],Table3[Driver],Table2[[#This Row],[Username]],Table3[Start Time],"&gt;="&amp;Table2[[#This Row],[Initial Exit]],Table3[Rule],"Entering Zone (Office)")</f>
        <v>0</v>
      </c>
      <c r="L37" s="29">
        <f>_xlfn.MINIFS(Table2[Date/Time],Table2[Start Date],Table2[[#This Row],[Start Date]],Table2[Username],Table2[[#This Row],[Username]],Table2[Date/Time],"&gt;="&amp;Table2[[#This Row],[Final Arrival]],Table2[Status],"Logoff")</f>
        <v>0</v>
      </c>
      <c r="M37" s="31">
        <f>ROW(Data1!A31)-10</f>
        <v>21</v>
      </c>
    </row>
    <row r="38" spans="2:13" x14ac:dyDescent="0.3">
      <c r="B38" s="18" t="str">
        <f>IF(ISBLANK(Data1!C32),"",PROPER(Data1!C32&amp;" "&amp;Data1!D32))</f>
        <v/>
      </c>
      <c r="C38" s="18" t="str">
        <f>IF(ISBLANK(Data1!E32),"",LOWER(Data1!E32))</f>
        <v/>
      </c>
      <c r="D38" s="18" t="str">
        <f>IF(ISBLANK(Data1!F32),"",IFERROR(LEFT(Data1!F32,SEARCH(", ",Data1!F32)-1),Data1!F32))</f>
        <v/>
      </c>
      <c r="E38" s="30" t="e">
        <f>INT(Table2[[#This Row],[Date/Time]])</f>
        <v>#VALUE!</v>
      </c>
      <c r="F38" s="29" t="str">
        <f>IF(ISBLANK(Data1!A32),"",Data1!A32)</f>
        <v/>
      </c>
      <c r="G38" s="18" t="str">
        <f>IF(ISBLANK(Data1!B32),"",Data1!B32)</f>
        <v/>
      </c>
      <c r="H38" s="29">
        <f>_xlfn.MINIFS(Table2[Date/Time],Table2[Start Date],Table2[[#This Row],[Start Date]],Table2[Username],Table2[[#This Row],[Username]],Table2[Status],"Login")</f>
        <v>0</v>
      </c>
      <c r="I38" s="29">
        <f>_xlfn.MINIFS(Table2[Date/Time],Table2[Username],Table2[[#This Row],[Username]],Table2[Date/Time],"&gt;"&amp;Table2[[#This Row],[Initial Login]],Table2[Status],"On")</f>
        <v>0</v>
      </c>
      <c r="J38" s="29">
        <f>_xlfn.MINIFS(Table3[Start Time],Table3[Driver],Table2[[#This Row],[Username]],Table3[Start Time],"&gt;="&amp;Table2[[#This Row],[Next On]],Table3[Rule],"Exiting Zone (Office)")</f>
        <v>0</v>
      </c>
      <c r="K38" s="29">
        <f>_xlfn.MAXIFS(Table3[Start Time],Table3[Driver],Table2[[#This Row],[Username]],Table3[Start Time],"&gt;="&amp;Table2[[#This Row],[Initial Exit]],Table3[Rule],"Entering Zone (Office)")</f>
        <v>0</v>
      </c>
      <c r="L38" s="29">
        <f>_xlfn.MINIFS(Table2[Date/Time],Table2[Start Date],Table2[[#This Row],[Start Date]],Table2[Username],Table2[[#This Row],[Username]],Table2[Date/Time],"&gt;="&amp;Table2[[#This Row],[Final Arrival]],Table2[Status],"Logoff")</f>
        <v>0</v>
      </c>
      <c r="M38" s="31">
        <f>ROW(Data1!A32)-10</f>
        <v>22</v>
      </c>
    </row>
    <row r="39" spans="2:13" x14ac:dyDescent="0.3">
      <c r="B39" s="18" t="str">
        <f>IF(ISBLANK(Data1!C33),"",PROPER(Data1!C33&amp;" "&amp;Data1!D33))</f>
        <v/>
      </c>
      <c r="C39" s="18" t="str">
        <f>IF(ISBLANK(Data1!E33),"",LOWER(Data1!E33))</f>
        <v/>
      </c>
      <c r="D39" s="18" t="str">
        <f>IF(ISBLANK(Data1!F33),"",IFERROR(LEFT(Data1!F33,SEARCH(", ",Data1!F33)-1),Data1!F33))</f>
        <v/>
      </c>
      <c r="E39" s="30" t="e">
        <f>INT(Table2[[#This Row],[Date/Time]])</f>
        <v>#VALUE!</v>
      </c>
      <c r="F39" s="29" t="str">
        <f>IF(ISBLANK(Data1!A33),"",Data1!A33)</f>
        <v/>
      </c>
      <c r="G39" s="18" t="str">
        <f>IF(ISBLANK(Data1!B33),"",Data1!B33)</f>
        <v/>
      </c>
      <c r="H39" s="29">
        <f>_xlfn.MINIFS(Table2[Date/Time],Table2[Start Date],Table2[[#This Row],[Start Date]],Table2[Username],Table2[[#This Row],[Username]],Table2[Status],"Login")</f>
        <v>0</v>
      </c>
      <c r="I39" s="29">
        <f>_xlfn.MINIFS(Table2[Date/Time],Table2[Username],Table2[[#This Row],[Username]],Table2[Date/Time],"&gt;"&amp;Table2[[#This Row],[Initial Login]],Table2[Status],"On")</f>
        <v>0</v>
      </c>
      <c r="J39" s="29">
        <f>_xlfn.MINIFS(Table3[Start Time],Table3[Driver],Table2[[#This Row],[Username]],Table3[Start Time],"&gt;="&amp;Table2[[#This Row],[Next On]],Table3[Rule],"Exiting Zone (Office)")</f>
        <v>0</v>
      </c>
      <c r="K39" s="29">
        <f>_xlfn.MAXIFS(Table3[Start Time],Table3[Driver],Table2[[#This Row],[Username]],Table3[Start Time],"&gt;="&amp;Table2[[#This Row],[Initial Exit]],Table3[Rule],"Entering Zone (Office)")</f>
        <v>0</v>
      </c>
      <c r="L39" s="29">
        <f>_xlfn.MINIFS(Table2[Date/Time],Table2[Start Date],Table2[[#This Row],[Start Date]],Table2[Username],Table2[[#This Row],[Username]],Table2[Date/Time],"&gt;="&amp;Table2[[#This Row],[Final Arrival]],Table2[Status],"Logoff")</f>
        <v>0</v>
      </c>
      <c r="M39" s="31">
        <f>ROW(Data1!A33)-10</f>
        <v>23</v>
      </c>
    </row>
    <row r="40" spans="2:13" x14ac:dyDescent="0.3">
      <c r="B40" s="18" t="str">
        <f>IF(ISBLANK(Data1!C34),"",PROPER(Data1!C34&amp;" "&amp;Data1!D34))</f>
        <v/>
      </c>
      <c r="C40" s="18" t="str">
        <f>IF(ISBLANK(Data1!E34),"",LOWER(Data1!E34))</f>
        <v/>
      </c>
      <c r="D40" s="18" t="str">
        <f>IF(ISBLANK(Data1!F34),"",IFERROR(LEFT(Data1!F34,SEARCH(", ",Data1!F34)-1),Data1!F34))</f>
        <v/>
      </c>
      <c r="E40" s="30" t="e">
        <f>INT(Table2[[#This Row],[Date/Time]])</f>
        <v>#VALUE!</v>
      </c>
      <c r="F40" s="29" t="str">
        <f>IF(ISBLANK(Data1!A34),"",Data1!A34)</f>
        <v/>
      </c>
      <c r="G40" s="18" t="str">
        <f>IF(ISBLANK(Data1!B34),"",Data1!B34)</f>
        <v/>
      </c>
      <c r="H40" s="29">
        <f>_xlfn.MINIFS(Table2[Date/Time],Table2[Start Date],Table2[[#This Row],[Start Date]],Table2[Username],Table2[[#This Row],[Username]],Table2[Status],"Login")</f>
        <v>0</v>
      </c>
      <c r="I40" s="29">
        <f>_xlfn.MINIFS(Table2[Date/Time],Table2[Username],Table2[[#This Row],[Username]],Table2[Date/Time],"&gt;"&amp;Table2[[#This Row],[Initial Login]],Table2[Status],"On")</f>
        <v>0</v>
      </c>
      <c r="J40" s="29">
        <f>_xlfn.MINIFS(Table3[Start Time],Table3[Driver],Table2[[#This Row],[Username]],Table3[Start Time],"&gt;="&amp;Table2[[#This Row],[Next On]],Table3[Rule],"Exiting Zone (Office)")</f>
        <v>0</v>
      </c>
      <c r="K40" s="29">
        <f>_xlfn.MAXIFS(Table3[Start Time],Table3[Driver],Table2[[#This Row],[Username]],Table3[Start Time],"&gt;="&amp;Table2[[#This Row],[Initial Exit]],Table3[Rule],"Entering Zone (Office)")</f>
        <v>0</v>
      </c>
      <c r="L40" s="29">
        <f>_xlfn.MINIFS(Table2[Date/Time],Table2[Start Date],Table2[[#This Row],[Start Date]],Table2[Username],Table2[[#This Row],[Username]],Table2[Date/Time],"&gt;="&amp;Table2[[#This Row],[Final Arrival]],Table2[Status],"Logoff")</f>
        <v>0</v>
      </c>
      <c r="M40" s="31">
        <f>ROW(Data1!A34)-10</f>
        <v>24</v>
      </c>
    </row>
  </sheetData>
  <phoneticPr fontId="15" type="noConversion"/>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499984740745262"/>
    <pageSetUpPr fitToPage="1"/>
  </sheetPr>
  <dimension ref="A1:J34"/>
  <sheetViews>
    <sheetView workbookViewId="0">
      <pane ySplit="1" topLeftCell="A2" activePane="bottomLeft" state="frozenSplit"/>
      <selection activeCell="M3" sqref="M3"/>
      <selection pane="bottomLeft" activeCell="B11" sqref="A1:J34"/>
    </sheetView>
  </sheetViews>
  <sheetFormatPr defaultRowHeight="13.5" x14ac:dyDescent="0.3"/>
  <cols>
    <col min="1" max="1" width="17.625" style="41" bestFit="1" customWidth="1"/>
    <col min="2" max="2" width="18.25" style="37" bestFit="1" customWidth="1"/>
    <col min="3" max="3" width="22.125" style="37" bestFit="1" customWidth="1"/>
    <col min="4" max="4" width="22" style="37" bestFit="1" customWidth="1"/>
    <col min="5" max="5" width="22.625" style="37" bestFit="1" customWidth="1"/>
    <col min="6" max="6" width="51.625" style="37" bestFit="1" customWidth="1"/>
    <col min="7" max="7" width="24.375" style="37" bestFit="1" customWidth="1"/>
    <col min="8" max="8" width="17.625" style="52" bestFit="1" customWidth="1"/>
    <col min="9" max="9" width="17.75" style="37" bestFit="1" customWidth="1"/>
    <col min="10" max="10" width="14.75" style="37" bestFit="1" customWidth="1"/>
    <col min="11" max="16384" width="9" style="37"/>
  </cols>
  <sheetData>
    <row r="1" spans="1:10" s="40" customFormat="1" thickBot="1" x14ac:dyDescent="0.35">
      <c r="A1" s="39"/>
      <c r="B1" s="39"/>
      <c r="C1" s="39"/>
      <c r="D1" s="39"/>
      <c r="E1" s="39"/>
      <c r="F1" s="39"/>
      <c r="G1" s="39"/>
      <c r="H1" s="53"/>
      <c r="I1" s="39"/>
      <c r="J1" s="39"/>
    </row>
    <row r="2" spans="1:10" x14ac:dyDescent="0.3">
      <c r="B2" s="38"/>
      <c r="G2" s="38"/>
    </row>
    <row r="3" spans="1:10" ht="16.5" x14ac:dyDescent="0.3">
      <c r="B3" s="38"/>
      <c r="G3" s="38"/>
      <c r="H3"/>
    </row>
    <row r="4" spans="1:10" ht="16.5" x14ac:dyDescent="0.3">
      <c r="B4" s="38"/>
      <c r="G4" s="38"/>
      <c r="H4"/>
      <c r="I4"/>
    </row>
    <row r="5" spans="1:10" ht="16.5" x14ac:dyDescent="0.3">
      <c r="B5" s="38"/>
      <c r="G5" s="38"/>
      <c r="H5"/>
    </row>
    <row r="6" spans="1:10" ht="16.5" x14ac:dyDescent="0.3">
      <c r="B6" s="38"/>
      <c r="G6" s="38"/>
      <c r="H6"/>
      <c r="I6"/>
    </row>
    <row r="7" spans="1:10" ht="16.5" x14ac:dyDescent="0.3">
      <c r="B7" s="38"/>
      <c r="G7" s="38"/>
      <c r="H7"/>
    </row>
    <row r="8" spans="1:10" ht="16.5" x14ac:dyDescent="0.3">
      <c r="B8" s="38"/>
      <c r="G8" s="38"/>
      <c r="H8"/>
      <c r="I8"/>
    </row>
    <row r="9" spans="1:10" ht="16.5" x14ac:dyDescent="0.3">
      <c r="B9" s="38"/>
      <c r="G9" s="38"/>
      <c r="H9"/>
    </row>
    <row r="10" spans="1:10" ht="16.5" x14ac:dyDescent="0.3">
      <c r="B10" s="38"/>
      <c r="G10" s="38"/>
      <c r="H10"/>
      <c r="I10"/>
    </row>
    <row r="11" spans="1:10" ht="16.5" x14ac:dyDescent="0.3">
      <c r="B11" s="38"/>
      <c r="G11" s="38"/>
      <c r="H11"/>
    </row>
    <row r="12" spans="1:10" ht="16.5" x14ac:dyDescent="0.3">
      <c r="B12" s="38"/>
      <c r="G12" s="38"/>
      <c r="H12"/>
      <c r="I12"/>
    </row>
    <row r="13" spans="1:10" ht="16.5" x14ac:dyDescent="0.3">
      <c r="B13" s="38"/>
      <c r="G13" s="38"/>
      <c r="H13"/>
    </row>
    <row r="14" spans="1:10" ht="16.5" x14ac:dyDescent="0.3">
      <c r="B14" s="38"/>
      <c r="G14" s="38"/>
      <c r="H14"/>
      <c r="I14"/>
    </row>
    <row r="15" spans="1:10" ht="16.5" x14ac:dyDescent="0.3">
      <c r="B15" s="38"/>
      <c r="G15" s="38"/>
      <c r="H15"/>
    </row>
    <row r="16" spans="1:10" ht="16.5" x14ac:dyDescent="0.3">
      <c r="B16" s="38"/>
      <c r="G16" s="38"/>
      <c r="H16"/>
      <c r="I16"/>
    </row>
    <row r="17" spans="2:9" ht="16.5" x14ac:dyDescent="0.3">
      <c r="B17" s="38"/>
      <c r="G17" s="38"/>
      <c r="H17"/>
    </row>
    <row r="18" spans="2:9" ht="16.5" x14ac:dyDescent="0.3">
      <c r="B18" s="38"/>
      <c r="G18" s="38"/>
      <c r="H18"/>
      <c r="I18"/>
    </row>
    <row r="19" spans="2:9" ht="16.5" x14ac:dyDescent="0.3">
      <c r="B19" s="38"/>
      <c r="G19" s="38"/>
      <c r="H19"/>
    </row>
    <row r="20" spans="2:9" ht="16.5" x14ac:dyDescent="0.3">
      <c r="B20" s="38"/>
      <c r="G20" s="38"/>
      <c r="H20"/>
      <c r="I20"/>
    </row>
    <row r="21" spans="2:9" ht="16.5" x14ac:dyDescent="0.3">
      <c r="B21" s="38"/>
      <c r="G21" s="38"/>
      <c r="H21"/>
    </row>
    <row r="22" spans="2:9" ht="16.5" x14ac:dyDescent="0.3">
      <c r="B22" s="38"/>
      <c r="G22" s="38"/>
      <c r="H22"/>
      <c r="I22"/>
    </row>
    <row r="23" spans="2:9" ht="16.5" x14ac:dyDescent="0.3">
      <c r="B23" s="38"/>
      <c r="G23" s="38"/>
      <c r="H23"/>
    </row>
    <row r="24" spans="2:9" ht="16.5" x14ac:dyDescent="0.3">
      <c r="B24" s="38"/>
      <c r="G24" s="38"/>
      <c r="H24"/>
      <c r="I24"/>
    </row>
    <row r="25" spans="2:9" ht="16.5" x14ac:dyDescent="0.3">
      <c r="B25" s="38"/>
      <c r="G25" s="38"/>
      <c r="H25"/>
    </row>
    <row r="26" spans="2:9" ht="16.5" x14ac:dyDescent="0.3">
      <c r="B26" s="38"/>
      <c r="G26" s="38"/>
      <c r="H26"/>
      <c r="I26"/>
    </row>
    <row r="27" spans="2:9" ht="16.5" x14ac:dyDescent="0.3">
      <c r="B27" s="38"/>
      <c r="G27" s="38"/>
      <c r="H27"/>
    </row>
    <row r="28" spans="2:9" ht="16.5" x14ac:dyDescent="0.3">
      <c r="B28" s="38"/>
      <c r="G28" s="38"/>
      <c r="H28"/>
      <c r="I28"/>
    </row>
    <row r="29" spans="2:9" ht="16.5" x14ac:dyDescent="0.3">
      <c r="B29" s="38"/>
      <c r="G29" s="38"/>
      <c r="H29"/>
    </row>
    <row r="30" spans="2:9" ht="16.5" x14ac:dyDescent="0.3">
      <c r="B30" s="38"/>
      <c r="G30" s="38"/>
      <c r="H30"/>
      <c r="I30"/>
    </row>
    <row r="31" spans="2:9" ht="16.5" x14ac:dyDescent="0.3">
      <c r="B31" s="38"/>
      <c r="G31" s="38"/>
      <c r="H31"/>
    </row>
    <row r="32" spans="2:9" ht="16.5" x14ac:dyDescent="0.3">
      <c r="B32" s="38"/>
      <c r="G32" s="38"/>
      <c r="H32"/>
      <c r="I32"/>
    </row>
    <row r="33" spans="2:8" ht="16.5" x14ac:dyDescent="0.3">
      <c r="B33" s="38"/>
      <c r="G33" s="38"/>
      <c r="H33"/>
    </row>
    <row r="34" spans="2:8" x14ac:dyDescent="0.3">
      <c r="B34" s="38"/>
      <c r="G34" s="38"/>
    </row>
  </sheetData>
  <phoneticPr fontId="15" type="noConversion"/>
  <pageMargins left="0.7" right="0.7" top="0.75" bottom="0.75" header="0.3" footer="0.3"/>
  <pageSetup fitToHeight="10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8D719-9B3E-42AB-AE43-0943E1E8FF1A}">
  <sheetPr>
    <tabColor theme="1" tint="0.499984740745262"/>
    <pageSetUpPr fitToPage="1"/>
  </sheetPr>
  <dimension ref="A1:J34"/>
  <sheetViews>
    <sheetView tabSelected="1" workbookViewId="0">
      <pane ySplit="1" topLeftCell="A2" activePane="bottomLeft" state="frozenSplit"/>
      <selection activeCell="M3" sqref="M3"/>
      <selection pane="bottomLeft" activeCell="C12" sqref="C12"/>
    </sheetView>
  </sheetViews>
  <sheetFormatPr defaultRowHeight="13.5" x14ac:dyDescent="0.3"/>
  <cols>
    <col min="1" max="1" width="17.625" style="41" bestFit="1" customWidth="1"/>
    <col min="2" max="2" width="18.25" style="37" bestFit="1" customWidth="1"/>
    <col min="3" max="3" width="22.125" style="37" bestFit="1" customWidth="1"/>
    <col min="4" max="4" width="22" style="37" bestFit="1" customWidth="1"/>
    <col min="5" max="5" width="22.625" style="37" bestFit="1" customWidth="1"/>
    <col min="6" max="6" width="51.625" style="37" bestFit="1" customWidth="1"/>
    <col min="7" max="7" width="24.375" style="37" bestFit="1" customWidth="1"/>
    <col min="8" max="8" width="17.625" style="52" bestFit="1" customWidth="1"/>
    <col min="9" max="9" width="17.75" style="37" bestFit="1" customWidth="1"/>
    <col min="10" max="10" width="14.75" style="37" bestFit="1" customWidth="1"/>
    <col min="11" max="16384" width="9" style="37"/>
  </cols>
  <sheetData>
    <row r="1" spans="1:10" s="40" customFormat="1" thickBot="1" x14ac:dyDescent="0.35">
      <c r="A1" s="39"/>
      <c r="B1" s="39"/>
      <c r="C1" s="39"/>
      <c r="D1" s="39"/>
      <c r="E1" s="39"/>
      <c r="F1" s="39"/>
      <c r="G1" s="39"/>
      <c r="H1" s="53"/>
      <c r="I1" s="39"/>
      <c r="J1" s="39"/>
    </row>
    <row r="2" spans="1:10" x14ac:dyDescent="0.3">
      <c r="B2" s="38"/>
      <c r="G2" s="38"/>
    </row>
    <row r="3" spans="1:10" ht="16.5" x14ac:dyDescent="0.3">
      <c r="B3" s="38"/>
      <c r="G3" s="38"/>
      <c r="H3"/>
    </row>
    <row r="4" spans="1:10" ht="16.5" x14ac:dyDescent="0.3">
      <c r="B4" s="38"/>
      <c r="G4" s="38"/>
      <c r="H4"/>
      <c r="I4"/>
    </row>
    <row r="5" spans="1:10" ht="16.5" x14ac:dyDescent="0.3">
      <c r="B5" s="38"/>
      <c r="G5" s="38"/>
      <c r="H5"/>
    </row>
    <row r="6" spans="1:10" ht="16.5" x14ac:dyDescent="0.3">
      <c r="B6" s="38"/>
      <c r="G6" s="38"/>
      <c r="H6"/>
      <c r="I6"/>
    </row>
    <row r="7" spans="1:10" ht="16.5" x14ac:dyDescent="0.3">
      <c r="B7" s="38"/>
      <c r="G7" s="38"/>
      <c r="H7"/>
    </row>
    <row r="8" spans="1:10" ht="16.5" x14ac:dyDescent="0.3">
      <c r="B8" s="38"/>
      <c r="G8" s="38"/>
      <c r="H8"/>
      <c r="I8"/>
    </row>
    <row r="9" spans="1:10" ht="16.5" x14ac:dyDescent="0.3">
      <c r="B9" s="38"/>
      <c r="G9" s="38"/>
      <c r="H9"/>
    </row>
    <row r="10" spans="1:10" ht="16.5" x14ac:dyDescent="0.3">
      <c r="B10" s="38"/>
      <c r="G10" s="38"/>
      <c r="H10"/>
      <c r="I10"/>
    </row>
    <row r="11" spans="1:10" ht="16.5" x14ac:dyDescent="0.3">
      <c r="B11" s="38"/>
      <c r="G11" s="38"/>
      <c r="H11"/>
    </row>
    <row r="12" spans="1:10" ht="16.5" x14ac:dyDescent="0.3">
      <c r="B12" s="38"/>
      <c r="G12" s="38"/>
      <c r="H12"/>
      <c r="I12"/>
    </row>
    <row r="13" spans="1:10" ht="16.5" x14ac:dyDescent="0.3">
      <c r="B13" s="38"/>
      <c r="G13" s="38"/>
      <c r="H13"/>
    </row>
    <row r="14" spans="1:10" ht="16.5" x14ac:dyDescent="0.3">
      <c r="B14" s="38"/>
      <c r="G14" s="38"/>
      <c r="H14"/>
      <c r="I14"/>
    </row>
    <row r="15" spans="1:10" ht="16.5" x14ac:dyDescent="0.3">
      <c r="B15" s="38"/>
      <c r="G15" s="38"/>
      <c r="H15"/>
    </row>
    <row r="16" spans="1:10" ht="16.5" x14ac:dyDescent="0.3">
      <c r="B16" s="38"/>
      <c r="G16" s="38"/>
      <c r="H16"/>
      <c r="I16"/>
    </row>
    <row r="17" spans="2:9" ht="16.5" x14ac:dyDescent="0.3">
      <c r="B17" s="38"/>
      <c r="G17" s="38"/>
      <c r="H17"/>
    </row>
    <row r="18" spans="2:9" ht="16.5" x14ac:dyDescent="0.3">
      <c r="B18" s="38"/>
      <c r="G18" s="38"/>
      <c r="H18"/>
      <c r="I18"/>
    </row>
    <row r="19" spans="2:9" ht="16.5" x14ac:dyDescent="0.3">
      <c r="B19" s="38"/>
      <c r="G19" s="38"/>
      <c r="H19"/>
    </row>
    <row r="20" spans="2:9" ht="16.5" x14ac:dyDescent="0.3">
      <c r="B20" s="38"/>
      <c r="G20" s="38"/>
      <c r="H20"/>
      <c r="I20"/>
    </row>
    <row r="21" spans="2:9" ht="16.5" x14ac:dyDescent="0.3">
      <c r="B21" s="38"/>
      <c r="G21" s="38"/>
      <c r="H21"/>
    </row>
    <row r="22" spans="2:9" ht="16.5" x14ac:dyDescent="0.3">
      <c r="B22" s="38"/>
      <c r="G22" s="38"/>
      <c r="H22"/>
      <c r="I22"/>
    </row>
    <row r="23" spans="2:9" ht="16.5" x14ac:dyDescent="0.3">
      <c r="B23" s="38"/>
      <c r="G23" s="38"/>
      <c r="H23"/>
    </row>
    <row r="24" spans="2:9" ht="16.5" x14ac:dyDescent="0.3">
      <c r="B24" s="38"/>
      <c r="G24" s="38"/>
      <c r="H24"/>
      <c r="I24"/>
    </row>
    <row r="25" spans="2:9" ht="16.5" x14ac:dyDescent="0.3">
      <c r="B25" s="38"/>
      <c r="G25" s="38"/>
      <c r="H25"/>
    </row>
    <row r="26" spans="2:9" ht="16.5" x14ac:dyDescent="0.3">
      <c r="B26" s="38"/>
      <c r="G26" s="38"/>
      <c r="H26"/>
      <c r="I26"/>
    </row>
    <row r="27" spans="2:9" ht="16.5" x14ac:dyDescent="0.3">
      <c r="B27" s="38"/>
      <c r="G27" s="38"/>
      <c r="H27"/>
    </row>
    <row r="28" spans="2:9" ht="16.5" x14ac:dyDescent="0.3">
      <c r="B28" s="38"/>
      <c r="G28" s="38"/>
      <c r="H28"/>
      <c r="I28"/>
    </row>
    <row r="29" spans="2:9" ht="16.5" x14ac:dyDescent="0.3">
      <c r="B29" s="38"/>
      <c r="G29" s="38"/>
      <c r="H29"/>
    </row>
    <row r="30" spans="2:9" ht="16.5" x14ac:dyDescent="0.3">
      <c r="B30" s="38"/>
      <c r="G30" s="38"/>
      <c r="H30"/>
      <c r="I30"/>
    </row>
    <row r="31" spans="2:9" ht="16.5" x14ac:dyDescent="0.3">
      <c r="B31" s="38"/>
      <c r="G31" s="38"/>
      <c r="H31"/>
    </row>
    <row r="32" spans="2:9" ht="16.5" x14ac:dyDescent="0.3">
      <c r="B32" s="38"/>
      <c r="G32" s="38"/>
      <c r="H32"/>
      <c r="I32"/>
    </row>
    <row r="33" spans="2:8" ht="16.5" x14ac:dyDescent="0.3">
      <c r="B33" s="38"/>
      <c r="G33" s="38"/>
      <c r="H33"/>
    </row>
    <row r="34" spans="2:8" x14ac:dyDescent="0.3">
      <c r="B34" s="38"/>
      <c r="G34" s="38"/>
    </row>
  </sheetData>
  <pageMargins left="0.7" right="0.7" top="0.75" bottom="0.75" header="0.3" footer="0.3"/>
  <pageSetup fitToHeight="10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Email Notification</vt:lpstr>
      <vt:lpstr>Summary (Time Stamps)</vt:lpstr>
      <vt:lpstr>Zone Events (Paste)</vt:lpstr>
      <vt:lpstr>Report</vt:lpstr>
      <vt:lpstr>Data1</vt:lpstr>
      <vt:lpstr>Data2</vt:lpstr>
      <vt:lpstr>AllData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dc:creator>
  <cp:lastModifiedBy>Michael Granados</cp:lastModifiedBy>
  <dcterms:created xsi:type="dcterms:W3CDTF">2009-05-21T13:20:04Z</dcterms:created>
  <dcterms:modified xsi:type="dcterms:W3CDTF">2026-05-18T23:23:45Z</dcterms:modified>
</cp:coreProperties>
</file>