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ables/table1.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MichaelGranados\Downloads\"/>
    </mc:Choice>
  </mc:AlternateContent>
  <xr:revisionPtr revIDLastSave="0" documentId="13_ncr:1_{C4C33365-4DE5-41F6-8F7E-38CD3A9005DB}" xr6:coauthVersionLast="47" xr6:coauthVersionMax="47" xr10:uidLastSave="{00000000-0000-0000-0000-000000000000}"/>
  <bookViews>
    <workbookView xWindow="14145" yWindow="-16320" windowWidth="29040" windowHeight="15720" xr2:uid="{00000000-000D-0000-FFFF-FFFF00000000}"/>
  </bookViews>
  <sheets>
    <sheet name="Notification" sheetId="5" r:id="rId1"/>
    <sheet name="Summary" sheetId="6" r:id="rId2"/>
    <sheet name="Data1" sheetId="1" r:id="rId3"/>
    <sheet name="Data2" sheetId="2" r:id="rId4"/>
  </sheets>
  <definedNames>
    <definedName name="_xlnm._FilterDatabase" localSheetId="0" hidden="1">Notification!$B$8:$B$8</definedName>
    <definedName name="Slicer_Vehicl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6" l="1"/>
  <c r="B17" i="6"/>
  <c r="B16" i="6"/>
  <c r="B15" i="6"/>
  <c r="B14" i="6"/>
  <c r="B13" i="6"/>
  <c r="B12" i="6"/>
  <c r="B11" i="6"/>
  <c r="B10" i="6"/>
  <c r="B9" i="6"/>
  <c r="B8" i="6"/>
  <c r="B7" i="6"/>
</calcChain>
</file>

<file path=xl/sharedStrings.xml><?xml version="1.0" encoding="utf-8"?>
<sst xmlns="http://schemas.openxmlformats.org/spreadsheetml/2006/main" count="393" uniqueCount="206">
  <si>
    <t>editDateTime</t>
  </si>
  <si>
    <t>id</t>
  </si>
  <si>
    <t>location_location_x</t>
  </si>
  <si>
    <t>location_location_y</t>
  </si>
  <si>
    <t>status</t>
  </si>
  <si>
    <t>origin</t>
  </si>
  <si>
    <t>device_id</t>
  </si>
  <si>
    <t>dateTime</t>
  </si>
  <si>
    <t>driver_id</t>
  </si>
  <si>
    <t>state</t>
  </si>
  <si>
    <t>malfunction</t>
  </si>
  <si>
    <t>version</t>
  </si>
  <si>
    <t>sequence</t>
  </si>
  <si>
    <t>odometer</t>
  </si>
  <si>
    <t>engineHours</t>
  </si>
  <si>
    <t>eventRecordStatus</t>
  </si>
  <si>
    <t>eventCode</t>
  </si>
  <si>
    <t>eventType</t>
  </si>
  <si>
    <t>distanceSinceValidCoordinates</t>
  </si>
  <si>
    <t>deferralStatus</t>
  </si>
  <si>
    <t>deferralMinutes</t>
  </si>
  <si>
    <t>isIgnored</t>
  </si>
  <si>
    <t>isTransitioning</t>
  </si>
  <si>
    <t>verifyDateTime</t>
  </si>
  <si>
    <t>2026-05-19T23:35:57.683Z</t>
  </si>
  <si>
    <t>anFyknXrLu06B4yLdlJxl9A</t>
  </si>
  <si>
    <t>Login</t>
  </si>
  <si>
    <t>Manual</t>
  </si>
  <si>
    <t>b402</t>
  </si>
  <si>
    <t>2026-05-19T23:35:57.680Z</t>
  </si>
  <si>
    <t>b53</t>
  </si>
  <si>
    <t>Active</t>
  </si>
  <si>
    <t>None</t>
  </si>
  <si>
    <t>000000000073b5aa</t>
  </si>
  <si>
    <t>0000000000002b35</t>
  </si>
  <si>
    <t>2026-05-19T23:36:31.139Z</t>
  </si>
  <si>
    <t>aV-r3rdw8ikCT8m7m_xE3xw</t>
  </si>
  <si>
    <t>Logoff</t>
  </si>
  <si>
    <t>2026-05-19T23:36:31.140Z</t>
  </si>
  <si>
    <t>000000000073b5ab</t>
  </si>
  <si>
    <t>0000000000002b36</t>
  </si>
  <si>
    <t>2026-05-19T22:11:09.455Z</t>
  </si>
  <si>
    <t>aUzo5PXXP7kq5mNy1266Ytw</t>
  </si>
  <si>
    <t>EnginePowerup</t>
  </si>
  <si>
    <t>Automatic</t>
  </si>
  <si>
    <t>b39B</t>
  </si>
  <si>
    <t>2026-05-19T22:09:41.743Z</t>
  </si>
  <si>
    <t>b108</t>
  </si>
  <si>
    <t>000000000073a2b5</t>
  </si>
  <si>
    <t>0000000000001081</t>
  </si>
  <si>
    <t>2026-05-19T22:41:09.296Z</t>
  </si>
  <si>
    <t>aquP_b03JBk24NVSRlGgMJg</t>
  </si>
  <si>
    <t>EngineShutdown</t>
  </si>
  <si>
    <t>2026-05-19T22:37:45.590Z</t>
  </si>
  <si>
    <t>000000000073b556</t>
  </si>
  <si>
    <t>0000000000001083</t>
  </si>
  <si>
    <t>2026-05-19T22:42:45.219Z</t>
  </si>
  <si>
    <t>aUhEtKQ6T60KGPFSjXMpwZg</t>
  </si>
  <si>
    <t>MotionStopped</t>
  </si>
  <si>
    <t>2026-05-19T22:37:42.157Z</t>
  </si>
  <si>
    <t>000000000073b56a</t>
  </si>
  <si>
    <t>2026-05-19T22:52:25.303Z</t>
  </si>
  <si>
    <t>arwqtbwDLbky2CXU8IqaJFw</t>
  </si>
  <si>
    <t>2026-05-19T22:50:59.677Z</t>
  </si>
  <si>
    <t>000000000073b59a</t>
  </si>
  <si>
    <t>0000000000001085</t>
  </si>
  <si>
    <t>2026-05-19T23:27:04.133Z</t>
  </si>
  <si>
    <t>aVixRTgTqCk2yOGUEr_bImQ</t>
  </si>
  <si>
    <t>2026-05-19T23:27:00.287Z</t>
  </si>
  <si>
    <t>000000000073b5a0</t>
  </si>
  <si>
    <t>0000000000001087</t>
  </si>
  <si>
    <t>2026-05-19T23:30:54.868Z</t>
  </si>
  <si>
    <t>aySPWMhsGQECRlTVhtag5XQ</t>
  </si>
  <si>
    <t>2026-05-19T23:25:53.103Z</t>
  </si>
  <si>
    <t>000000000073b5a2</t>
  </si>
  <si>
    <t>2026-05-19T22:11:10.973Z</t>
  </si>
  <si>
    <t>a4aRpGnNsgEaLDXv0-FFvhQ</t>
  </si>
  <si>
    <t>D</t>
  </si>
  <si>
    <t>2026-05-19T22:10:14.770Z</t>
  </si>
  <si>
    <t>000000000073b607</t>
  </si>
  <si>
    <t>0000000000001082</t>
  </si>
  <si>
    <t>2026-05-20T03:55:07.533Z</t>
  </si>
  <si>
    <t>2026-05-19T22:43:42.187Z</t>
  </si>
  <si>
    <t>atHfexFwQ_EiwRIuE4YUaJw</t>
  </si>
  <si>
    <t>ON</t>
  </si>
  <si>
    <t>2026-05-19T22:43:42.157Z</t>
  </si>
  <si>
    <t>000000000073b608</t>
  </si>
  <si>
    <t>0000000000001084</t>
  </si>
  <si>
    <t>2026-05-19T22:52:26.471Z</t>
  </si>
  <si>
    <t>aVrLU0zcCdEWcvILEDEDG1Q</t>
  </si>
  <si>
    <t>2026-05-19T22:51:38.780Z</t>
  </si>
  <si>
    <t>000000000073b609</t>
  </si>
  <si>
    <t>0000000000001086</t>
  </si>
  <si>
    <t>2026-05-19T23:31:53.535Z</t>
  </si>
  <si>
    <t>aWkQDE-_1Zka8SL3q72D-gA</t>
  </si>
  <si>
    <t>2026-05-19T23:31:53.103Z</t>
  </si>
  <si>
    <t>000000000073b60a</t>
  </si>
  <si>
    <t>0000000000001088</t>
  </si>
  <si>
    <t>2026-05-20T03:54:41.801Z</t>
  </si>
  <si>
    <t>aZ-R_ffK67k-Hu3DzyX4YDA</t>
  </si>
  <si>
    <t>Certify</t>
  </si>
  <si>
    <t>2026-05-20T03:54:41.800Z</t>
  </si>
  <si>
    <t>000000000073b617</t>
  </si>
  <si>
    <t>000000000000108a</t>
  </si>
  <si>
    <t>2026-05-14T00:00:00.000Z</t>
  </si>
  <si>
    <t>2026-05-20T03:55:07.532Z</t>
  </si>
  <si>
    <t>aPDcHtAz6pUSv-DynbMjbCw</t>
  </si>
  <si>
    <t>000000000073b618</t>
  </si>
  <si>
    <t>000000000000108b</t>
  </si>
  <si>
    <t>2026-05-19T00:00:00.000Z</t>
  </si>
  <si>
    <t>2026-05-20T03:55:17.217Z</t>
  </si>
  <si>
    <t>adZfw6gRf9U-07GQAD682wQ</t>
  </si>
  <si>
    <t>000000000073b619</t>
  </si>
  <si>
    <t>000000000000108c</t>
  </si>
  <si>
    <t>2026-05-08T00:00:00.000Z</t>
  </si>
  <si>
    <t>aTjTuAWABF0-6o_UdNZTFhg</t>
  </si>
  <si>
    <t>000000000073b61a</t>
  </si>
  <si>
    <t>000000000000108d</t>
  </si>
  <si>
    <t>2026-05-15T00:00:00.000Z</t>
  </si>
  <si>
    <t>anlDK7D2dn0iS0LM2yqkwIg</t>
  </si>
  <si>
    <t>000000000073b61b</t>
  </si>
  <si>
    <t>000000000000108e</t>
  </si>
  <si>
    <t>2026-05-16T00:00:00.000Z</t>
  </si>
  <si>
    <t>axdZdVnK6GEaY8JJ5-qhrQQ</t>
  </si>
  <si>
    <t>000000000073b61c</t>
  </si>
  <si>
    <t>000000000000108f</t>
  </si>
  <si>
    <t>2026-05-17T00:00:00.000Z</t>
  </si>
  <si>
    <t>aLk1n4zquoUGw7wVperhU2Q</t>
  </si>
  <si>
    <t>000000000073b61d</t>
  </si>
  <si>
    <t>0000000000001090</t>
  </si>
  <si>
    <t>2026-05-18T00:00:00.000Z</t>
  </si>
  <si>
    <t>activeFrom</t>
  </si>
  <si>
    <t>activeTo</t>
  </si>
  <si>
    <t>distance</t>
  </si>
  <si>
    <t>duration</t>
  </si>
  <si>
    <t>rule_state</t>
  </si>
  <si>
    <t>rule_reason</t>
  </si>
  <si>
    <t>rule_id</t>
  </si>
  <si>
    <t>diagnostic</t>
  </si>
  <si>
    <t>lastModifiedDateTime</t>
  </si>
  <si>
    <t>createdDateTime</t>
  </si>
  <si>
    <t>2026-05-19T22:13:43.857Z</t>
  </si>
  <si>
    <t>2026-05-19T22:14:33.000Z</t>
  </si>
  <si>
    <t>00:00:49.1430000</t>
  </si>
  <si>
    <t>ExceptionRuleStateActiveId</t>
  </si>
  <si>
    <t>ExceptionRuleReasonNoneId</t>
  </si>
  <si>
    <t>ahSBlVA6xR02Zwc40cgw5Rg</t>
  </si>
  <si>
    <t>NoDiagnosticId</t>
  </si>
  <si>
    <t>ExceptionEventStateValidId</t>
  </si>
  <si>
    <t>2026-05-19T22:14:38.829Z</t>
  </si>
  <si>
    <t>2026-05-19T22:14:22.289Z</t>
  </si>
  <si>
    <t>0000000000dbc4aa</t>
  </si>
  <si>
    <t>amh-irfXMs0uHi_R5Z6uTWw</t>
  </si>
  <si>
    <t>2026-05-19T22:15:06.807Z</t>
  </si>
  <si>
    <t>2026-05-19T22:15:33.787Z</t>
  </si>
  <si>
    <t>00:00:26.9800000</t>
  </si>
  <si>
    <t>2026-05-19T22:15:36.022Z</t>
  </si>
  <si>
    <t>2026-05-19T22:15:32.086Z</t>
  </si>
  <si>
    <t>0000000000dbc4d8</t>
  </si>
  <si>
    <t>a1Icl0zBxjkui7byJZVwTXA</t>
  </si>
  <si>
    <t>2026-05-19T22:16:06.910Z</t>
  </si>
  <si>
    <t>2026-05-19T22:17:09.090Z</t>
  </si>
  <si>
    <t>00:01:02.1800000</t>
  </si>
  <si>
    <t>2026-05-19T22:17:24.143Z</t>
  </si>
  <si>
    <t>2026-05-19T22:16:31.895Z</t>
  </si>
  <si>
    <t>0000000000dbc514</t>
  </si>
  <si>
    <t>aCw6gj_vG20CT16UT2bmwKg</t>
  </si>
  <si>
    <t>2026-05-19T22:29:14.000Z</t>
  </si>
  <si>
    <t>2026-05-19T22:29:36.763Z</t>
  </si>
  <si>
    <t>00:00:22.7630000</t>
  </si>
  <si>
    <t>2026-05-19T22:29:50.662Z</t>
  </si>
  <si>
    <t>2026-05-19T22:29:50.659Z</t>
  </si>
  <si>
    <t>0000000000dbc739</t>
  </si>
  <si>
    <t>aQUHuVrq58EKhHGhy3rdMng</t>
  </si>
  <si>
    <t>Report Title</t>
  </si>
  <si>
    <r>
      <t>powered by</t>
    </r>
    <r>
      <rPr>
        <sz val="9"/>
        <color rgb="FFED8B00"/>
        <rFont val="Century Gothic"/>
        <family val="2"/>
      </rPr>
      <t xml:space="preserve"> GRIDLINE</t>
    </r>
  </si>
  <si>
    <t>subtitle/report detail</t>
  </si>
  <si>
    <t>=IF(INT(Data!$B$3)&lt;&gt;INT(Data!$B$4),TEXT(Data!$B$3,"mmm dd, yyyy")&amp;" - "&amp;TEXT(Data!$B$4,"mmm dd, yyyy"),TEXT(Data!$B$4,"mmmm dd, yyyy"))</t>
  </si>
  <si>
    <t>Call Out Text</t>
  </si>
  <si>
    <t>Call out</t>
  </si>
  <si>
    <t>(Please open Excel file for details)</t>
  </si>
  <si>
    <t>Table &amp; Pivot</t>
  </si>
  <si>
    <r>
      <t xml:space="preserve"> format and slicer</t>
    </r>
    <r>
      <rPr>
        <b/>
        <sz val="11"/>
        <rFont val="Century Gothic"/>
        <family val="2"/>
      </rPr>
      <t xml:space="preserve"> </t>
    </r>
    <r>
      <rPr>
        <b/>
        <sz val="9"/>
        <color rgb="FFEB8900"/>
        <rFont val="Century Gothic"/>
        <family val="2"/>
      </rPr>
      <t>powered by</t>
    </r>
    <r>
      <rPr>
        <sz val="9"/>
        <color rgb="FFEB8900"/>
        <rFont val="Century Gothic"/>
        <family val="2"/>
      </rPr>
      <t xml:space="preserve"> GRIDLINE</t>
    </r>
  </si>
  <si>
    <t xml:space="preserve">Vehicle </t>
  </si>
  <si>
    <t xml:space="preserve">Driver </t>
  </si>
  <si>
    <t xml:space="preserve">Group </t>
  </si>
  <si>
    <t xml:space="preserve">Date </t>
  </si>
  <si>
    <t xml:space="preserve">Item 1 </t>
  </si>
  <si>
    <t xml:space="preserve">Item 2 </t>
  </si>
  <si>
    <t xml:space="preserve">Item 3 </t>
  </si>
  <si>
    <t>Driver 1</t>
  </si>
  <si>
    <t>Phoenix</t>
  </si>
  <si>
    <t>Driver 2</t>
  </si>
  <si>
    <t>Driver 3</t>
  </si>
  <si>
    <t>Tucson</t>
  </si>
  <si>
    <t xml:space="preserve">Sum of Item 1 </t>
  </si>
  <si>
    <t xml:space="preserve">Sum of Item 2 </t>
  </si>
  <si>
    <t xml:space="preserve">Sum of Item 3 </t>
  </si>
  <si>
    <t>Vehicle 1</t>
  </si>
  <si>
    <t>Phoenix Total</t>
  </si>
  <si>
    <t>Driver 1 Total</t>
  </si>
  <si>
    <t>Vehicle 1 Total</t>
  </si>
  <si>
    <t>Vehicle 2</t>
  </si>
  <si>
    <t>Driver 2 Total</t>
  </si>
  <si>
    <t>Vehicle 2 Total</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</si>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</sst>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上午/下午 &quot;hh&quot;時&quot;mm&quot;分&quot;ss&quot;秒 &quot;"/>
    <numFmt numFmtId="165" formatCode="mmmm\ dd\,\ yyyy"/>
    <numFmt numFmtId="166" formatCode="mmm\ dd\,\ yyyy"/>
  </numFmts>
  <fonts count="21">
    <font>
      <sz val="12"/>
      <color theme="1"/>
      <name val="Calibri"/>
      <family val="2"/>
      <scheme val="minor"/>
    </font>
    <font>
      <sz val="11"/>
      <color theme="1"/>
      <name val="Century Gothic"/>
      <family val="2"/>
    </font>
    <font>
      <sz val="11"/>
      <name val="Century Gothic"/>
      <family val="2"/>
    </font>
    <font>
      <sz val="8"/>
      <name val="Century Gothic"/>
      <family val="2"/>
    </font>
    <font>
      <sz val="26"/>
      <color rgb="FFED8B00"/>
      <name val="Century Gothic"/>
      <family val="2"/>
    </font>
    <font>
      <sz val="26"/>
      <name val="Century Gothic"/>
      <family val="2"/>
    </font>
    <font>
      <b/>
      <sz val="9"/>
      <color rgb="FFED8B00"/>
      <name val="Century Gothic"/>
      <family val="2"/>
    </font>
    <font>
      <sz val="9"/>
      <color rgb="FFED8B00"/>
      <name val="Century Gothic"/>
      <family val="2"/>
    </font>
    <font>
      <sz val="9"/>
      <name val="Century Gothic"/>
      <family val="2"/>
    </font>
    <font>
      <sz val="11"/>
      <color rgb="FF75787B"/>
      <name val="Century Gothic"/>
      <family val="2"/>
    </font>
    <font>
      <b/>
      <sz val="11"/>
      <name val="Century Gothic"/>
      <family val="2"/>
    </font>
    <font>
      <b/>
      <sz val="12"/>
      <color rgb="FF75787B"/>
      <name val="Century Gothic"/>
      <family val="2"/>
    </font>
    <font>
      <b/>
      <sz val="12"/>
      <name val="Century Gothic"/>
      <family val="2"/>
    </font>
    <font>
      <b/>
      <sz val="18"/>
      <color rgb="FFED8B00"/>
      <name val="Century Gothic"/>
      <family val="2"/>
    </font>
    <font>
      <sz val="18"/>
      <name val="Century Gothic"/>
      <family val="2"/>
    </font>
    <font>
      <sz val="9"/>
      <color rgb="FF75787B"/>
      <name val="Century Gothic"/>
      <family val="2"/>
    </font>
    <font>
      <b/>
      <sz val="26"/>
      <color rgb="FFEB8900"/>
      <name val="Century Gothic"/>
      <family val="2"/>
    </font>
    <font>
      <b/>
      <sz val="9"/>
      <color rgb="FFEB8900"/>
      <name val="Century Gothic"/>
      <family val="2"/>
    </font>
    <font>
      <sz val="9"/>
      <color rgb="FFEB8900"/>
      <name val="Century Gothic"/>
      <family val="2"/>
    </font>
    <font>
      <sz val="12"/>
      <name val="Century Gothic"/>
      <family val="2"/>
    </font>
    <font>
      <sz val="8"/>
      <color theme="1"/>
      <name val="Century Gothic"/>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Protection="0">
      <alignment horizontal="left" vertical="center"/>
    </xf>
  </cellStyleXfs>
  <cellXfs count="31">
    <xf numFmtId="0" fontId="0" fillId="0" borderId="0" xfId="0"/>
    <xf numFmtId="0" fontId="3" fillId="0" borderId="0" xfId="1" applyFont="1" applyAlignment="1">
      <alignment horizontal="center" vertical="center"/>
    </xf>
    <xf numFmtId="0" fontId="3" fillId="0" borderId="0" xfId="1" applyFont="1">
      <alignment horizontal="left" vertical="center"/>
    </xf>
    <xf numFmtId="0" fontId="2" fillId="0" borderId="0" xfId="1" applyAlignment="1">
      <alignment horizontal="center" vertical="center"/>
    </xf>
    <xf numFmtId="0" fontId="2" fillId="0" borderId="0" xfId="1">
      <alignment horizontal="left" vertical="center"/>
    </xf>
    <xf numFmtId="0" fontId="4" fillId="0" borderId="0" xfId="1" applyFont="1" applyAlignment="1">
      <alignment horizontal="center" shrinkToFit="1"/>
    </xf>
    <xf numFmtId="0" fontId="5" fillId="0" borderId="0" xfId="1" applyFont="1" applyAlignment="1">
      <alignment horizontal="left"/>
    </xf>
    <xf numFmtId="0" fontId="6" fillId="0" borderId="0" xfId="1" applyFont="1" applyAlignment="1">
      <alignment horizontal="center" vertical="center" shrinkToFit="1"/>
    </xf>
    <xf numFmtId="0" fontId="8" fillId="0" borderId="0" xfId="1" applyFont="1">
      <alignment horizontal="left" vertical="center"/>
    </xf>
    <xf numFmtId="0" fontId="9" fillId="0" borderId="0" xfId="1" applyFont="1" applyAlignment="1">
      <alignment horizontal="center" vertical="center" shrinkToFit="1"/>
    </xf>
    <xf numFmtId="0" fontId="10" fillId="0" borderId="0" xfId="1" applyFont="1" applyAlignment="1">
      <alignment horizontal="center" vertical="center" shrinkToFit="1"/>
    </xf>
    <xf numFmtId="165" fontId="9" fillId="0" borderId="0" xfId="1" quotePrefix="1" applyNumberFormat="1" applyFont="1" applyAlignment="1">
      <alignment horizontal="center" vertical="center" shrinkToFit="1"/>
    </xf>
    <xf numFmtId="0" fontId="2" fillId="0" borderId="0" xfId="1" applyAlignment="1">
      <alignment vertical="center" shrinkToFit="1"/>
    </xf>
    <xf numFmtId="0" fontId="11" fillId="0" borderId="0" xfId="1" applyNumberFormat="1" applyFont="1" applyAlignment="1">
      <alignment horizontal="center" vertical="center" shrinkToFit="1"/>
    </xf>
    <xf numFmtId="0" fontId="12" fillId="0" borderId="0" xfId="1" applyFont="1">
      <alignment horizontal="left" vertical="center"/>
    </xf>
    <xf numFmtId="0" fontId="13" fillId="0" borderId="0" xfId="1" applyNumberFormat="1" applyFont="1" applyAlignment="1">
      <alignment horizontal="center" vertical="center" shrinkToFit="1"/>
    </xf>
    <xf numFmtId="0" fontId="14" fillId="0" borderId="0" xfId="1" applyFont="1">
      <alignment horizontal="left" vertical="center"/>
    </xf>
    <xf numFmtId="0" fontId="1" fillId="0" borderId="0" xfId="1" applyFont="1" applyAlignment="1">
      <alignment vertical="center" shrinkToFit="1"/>
    </xf>
    <xf numFmtId="0" fontId="15" fillId="0" borderId="0" xfId="1" applyFont="1" applyAlignment="1">
      <alignment horizontal="center" vertical="center" shrinkToFit="1"/>
    </xf>
    <xf numFmtId="0" fontId="16" fillId="0" borderId="0" xfId="1" applyFont="1">
      <alignment horizontal="left" vertical="center"/>
    </xf>
    <xf numFmtId="0" fontId="10" fillId="0" borderId="0" xfId="1" applyFont="1">
      <alignment horizontal="left" vertical="center"/>
    </xf>
    <xf numFmtId="0" fontId="2" fillId="0" borderId="0" xfId="1" quotePrefix="1">
      <alignment horizontal="left" vertical="center"/>
    </xf>
    <xf numFmtId="0" fontId="2" fillId="0" borderId="0" xfId="1" applyFill="1" applyBorder="1">
      <alignment horizontal="left" vertical="center"/>
    </xf>
    <xf numFmtId="0" fontId="2" fillId="0" borderId="0" xfId="1" applyFill="1" applyBorder="1" applyAlignment="1">
      <alignment horizontal="center" vertical="center"/>
    </xf>
    <xf numFmtId="166" fontId="2" fillId="0" borderId="0" xfId="1" applyNumberFormat="1" applyFill="1" applyBorder="1">
      <alignment horizontal="left" vertical="center"/>
    </xf>
    <xf numFmtId="0" fontId="19" fillId="0" borderId="0" xfId="1" applyFont="1">
      <alignment horizontal="left" vertical="center"/>
    </xf>
    <xf numFmtId="0" fontId="19" fillId="0" borderId="0" xfId="1" applyFont="1" applyAlignment="1">
      <alignment horizontal="center" vertical="center"/>
    </xf>
    <xf numFmtId="166" fontId="2" fillId="0" borderId="0" xfId="1" applyNumberFormat="1">
      <alignment horizontal="left" vertical="center"/>
    </xf>
    <xf numFmtId="0" fontId="2" fillId="0" borderId="0" xfId="1" applyNumberFormat="1" applyAlignment="1">
      <alignment horizontal="center" vertical="center"/>
    </xf>
    <xf numFmtId="0" fontId="2" fillId="0" borderId="0" xfId="1" applyBorder="1">
      <alignment horizontal="left" vertical="center"/>
    </xf>
    <xf numFmtId="0" fontId="20" fillId="0" borderId="0" xfId="0" applyFont="1"/>
  </cellXfs>
  <cellStyles count="2">
    <cellStyle name="Normal" xfId="0" builtinId="0"/>
    <cellStyle name="Normal 2" xfId="1" xr:uid="{6211260D-95C0-419B-8BDE-042DA8E451CB}"/>
  </cellStyles>
  <dxfs count="61">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font>
        <strike val="0"/>
        <outline val="0"/>
        <shadow val="0"/>
        <u val="none"/>
        <vertAlign val="baseline"/>
        <sz val="8"/>
        <color theme="1"/>
        <name val="Century Gothic"/>
        <family val="2"/>
        <scheme val="none"/>
      </font>
    </dxf>
    <dxf>
      <alignment horizontal="center"/>
    </dxf>
    <dxf>
      <font>
        <sz val="12"/>
      </font>
    </dxf>
    <dxf>
      <font>
        <sz val="12"/>
      </font>
    </dxf>
    <dxf>
      <font>
        <sz val="12"/>
      </font>
    </dxf>
    <dxf>
      <font>
        <sz val="12"/>
      </font>
    </dxf>
    <dxf>
      <font>
        <sz val="12"/>
      </font>
    </dxf>
    <dxf>
      <font>
        <b/>
        <i val="0"/>
        <sz val="12"/>
        <color theme="1"/>
        <name val="Century Gothic"/>
        <family val="2"/>
        <scheme val="none"/>
      </font>
      <fill>
        <patternFill>
          <bgColor theme="0"/>
        </patternFill>
      </fill>
    </dxf>
    <dxf>
      <font>
        <b val="0"/>
        <i val="0"/>
        <sz val="11"/>
        <color theme="1"/>
        <name val="Century Gothic"/>
        <family val="2"/>
        <scheme val="none"/>
      </font>
      <fill>
        <patternFill>
          <bgColor theme="0"/>
        </patternFill>
      </fill>
      <border>
        <left style="thin">
          <color rgb="FF9B9B9B"/>
        </left>
        <right style="thin">
          <color rgb="FF9B9B9B"/>
        </right>
        <top style="thin">
          <color rgb="FF9B9B9B"/>
        </top>
        <bottom style="thin">
          <color rgb="FF9B9B9B"/>
        </bottom>
      </border>
    </dxf>
    <dxf>
      <font>
        <b val="0"/>
        <i val="0"/>
        <color rgb="FFEC8C22"/>
      </font>
      <fill>
        <patternFill patternType="none">
          <bgColor auto="1"/>
        </patternFill>
      </fill>
      <border diagonalUp="0" diagonalDown="0">
        <left/>
        <right/>
        <top style="thin">
          <color rgb="FF9B9B9B"/>
        </top>
        <bottom/>
        <vertical/>
        <horizontal/>
      </border>
    </dxf>
    <dxf>
      <font>
        <b/>
        <i val="0"/>
        <color rgb="FFEC8C22"/>
      </font>
      <fill>
        <patternFill patternType="none">
          <bgColor auto="1"/>
        </patternFill>
      </fill>
      <border diagonalUp="0" diagonalDown="0">
        <left/>
        <right/>
        <top/>
        <bottom style="thin">
          <color rgb="FF9B9B9B"/>
        </bottom>
        <vertical/>
        <horizontal/>
      </border>
    </dxf>
    <dxf>
      <font>
        <b val="0"/>
        <i val="0"/>
        <color auto="1"/>
      </font>
      <fill>
        <patternFill patternType="none">
          <bgColor auto="1"/>
        </patternFill>
      </fill>
      <border>
        <left/>
        <right/>
        <top style="thin">
          <color rgb="FF9B9B9B"/>
        </top>
        <bottom style="thin">
          <color rgb="FF9B9B9B"/>
        </bottom>
        <vertical/>
        <horizontal style="thin">
          <color rgb="FFF2F2F2"/>
        </horizontal>
      </border>
    </dxf>
    <dxf>
      <fill>
        <patternFill>
          <bgColor rgb="FFFFBA5B"/>
        </patternFill>
      </fill>
    </dxf>
    <dxf>
      <fill>
        <patternFill>
          <bgColor rgb="FFFFD091"/>
        </patternFill>
      </fill>
    </dxf>
    <dxf>
      <fill>
        <patternFill>
          <bgColor rgb="FFFFE8CF"/>
        </patternFill>
      </fill>
    </dxf>
    <dxf>
      <border>
        <top style="thin">
          <color rgb="FFF2F2F2"/>
        </top>
      </border>
    </dxf>
    <dxf>
      <border>
        <top style="thin">
          <color rgb="FFF2F2F2"/>
        </top>
      </border>
    </dxf>
    <dxf>
      <font>
        <b/>
        <i val="0"/>
        <color rgb="FFEB8900"/>
      </font>
      <border>
        <top style="thin">
          <color rgb="FF9B9B9B"/>
        </top>
      </border>
    </dxf>
    <dxf>
      <font>
        <b/>
        <i val="0"/>
        <color rgb="FFEB8900"/>
      </font>
      <border>
        <left/>
        <right/>
        <top/>
        <bottom style="thin">
          <color rgb="FF9B9B9B"/>
        </bottom>
        <vertical/>
        <horizontal/>
      </border>
    </dxf>
  </dxfs>
  <tableStyles count="3" defaultTableStyle="TableStyleMedium9" defaultPivotStyle="PivotStyleMedium4">
    <tableStyle name="Gridline Pivot" table="0" count="7" xr9:uid="{F40EBDFA-2E9D-4BFB-9D14-5D28117FDEC2}">
      <tableStyleElement type="headerRow" dxfId="60"/>
      <tableStyleElement type="totalRow" dxfId="59"/>
      <tableStyleElement type="firstRowStripe" dxfId="58"/>
      <tableStyleElement type="secondRowStripe" dxfId="57"/>
      <tableStyleElement type="firstSubtotalRow" dxfId="56"/>
      <tableStyleElement type="secondSubtotalRow" dxfId="55"/>
      <tableStyleElement type="thirdSubtotalRow" dxfId="54"/>
    </tableStyle>
    <tableStyle name="Gridline Slicer" pivot="0" table="0" count="10" xr9:uid="{E72D2E7F-81CD-4E5C-8A33-5CC5B1FF8D37}">
      <tableStyleElement type="wholeTable" dxfId="50"/>
      <tableStyleElement type="headerRow" dxfId="49"/>
    </tableStyle>
    <tableStyle name="Gridline Table" pivot="0" count="3" xr9:uid="{5D2F8E41-9180-4628-BEC0-78CBAFCDFDA7}">
      <tableStyleElement type="wholeTable" dxfId="53"/>
      <tableStyleElement type="headerRow" dxfId="52"/>
      <tableStyleElement type="totalRow" dxfId="51"/>
    </tableStyle>
  </tableStyles>
  <extLst>
    <ext xmlns:x14="http://schemas.microsoft.com/office/spreadsheetml/2009/9/main" uri="{46F421CA-312F-682f-3DD2-61675219B42D}">
      <x14:dxfs count="8">
        <dxf>
          <font>
            <b val="0"/>
            <i val="0"/>
            <strike/>
            <sz val="11"/>
            <color rgb="FF9C9C9C"/>
            <name val="Century Gothic"/>
            <family val="2"/>
          </font>
          <fill>
            <patternFill>
              <bgColor theme="0"/>
            </patternFill>
          </fill>
          <border>
            <left style="thin">
              <color rgb="FF9B9B9B"/>
            </left>
            <right style="thin">
              <color rgb="FF9B9B9B"/>
            </right>
            <top style="thin">
              <color rgb="FF9B9B9B"/>
            </top>
            <bottom style="thin">
              <color rgb="FF9B9B9B"/>
            </bottom>
          </border>
        </dxf>
        <dxf>
          <font>
            <b val="0"/>
            <i val="0"/>
            <strike/>
            <sz val="11"/>
            <color rgb="FF9C9C9C"/>
            <name val="Century Gothic"/>
            <family val="2"/>
            <scheme val="none"/>
          </font>
          <fill>
            <patternFill>
              <bgColor theme="0"/>
            </patternFill>
          </fill>
          <border>
            <left style="thin">
              <color rgb="FF9B9B9B"/>
            </left>
            <right style="thin">
              <color rgb="FF9B9B9B"/>
            </right>
            <top style="thin">
              <color rgb="FF9B9B9B"/>
            </top>
            <bottom style="thin">
              <color rgb="FF9B9B9B"/>
            </bottom>
          </border>
        </dxf>
        <dxf>
          <font>
            <b val="0"/>
            <i val="0"/>
            <sz val="11"/>
            <name val="Century Gothic"/>
            <family val="2"/>
          </font>
          <fill>
            <patternFill>
              <bgColor rgb="FFED8B00"/>
            </patternFill>
          </fill>
          <border>
            <left style="thin">
              <color rgb="FF9B9B9B"/>
            </left>
            <right style="thin">
              <color rgb="FF9B9B9B"/>
            </right>
            <top style="thin">
              <color rgb="FF9B9B9B"/>
            </top>
            <bottom style="thin">
              <color rgb="FF9B9B9B"/>
            </bottom>
          </border>
        </dxf>
        <dxf>
          <font>
            <b val="0"/>
            <i val="0"/>
            <sz val="11"/>
            <name val="Century Gothic"/>
            <family val="2"/>
          </font>
          <fill>
            <patternFill>
              <bgColor rgb="FFFFD091"/>
            </patternFill>
          </fill>
          <border>
            <left style="thin">
              <color rgb="FF9B9B9B"/>
            </left>
            <right style="thin">
              <color rgb="FF9B9B9B"/>
            </right>
            <top style="thin">
              <color rgb="FF9B9B9B"/>
            </top>
            <bottom style="thin">
              <color rgb="FF9B9B9B"/>
            </bottom>
          </border>
        </dxf>
        <dxf>
          <font>
            <b val="0"/>
            <i val="0"/>
            <strike/>
            <sz val="11"/>
            <color rgb="FF9C9C9C"/>
            <name val="Century Gothic"/>
            <family val="2"/>
          </font>
          <fill>
            <patternFill>
              <bgColor theme="0"/>
            </patternFill>
          </fill>
          <border>
            <left style="thin">
              <color rgb="FF9B9B9B"/>
            </left>
            <right style="thin">
              <color rgb="FF9B9B9B"/>
            </right>
            <top style="thin">
              <color rgb="FF9B9B9B"/>
            </top>
            <bottom style="thin">
              <color rgb="FF9B9B9B"/>
            </bottom>
          </border>
        </dxf>
        <dxf>
          <font>
            <sz val="11"/>
            <color theme="1"/>
            <name val="Century Gothic"/>
            <family val="2"/>
            <scheme val="none"/>
          </font>
          <fill>
            <patternFill>
              <bgColor rgb="FFED8B00"/>
            </patternFill>
          </fill>
          <border>
            <left style="thin">
              <color rgb="FF9B9B9B"/>
            </left>
            <right style="thin">
              <color rgb="FF9B9B9B"/>
            </right>
            <top style="thin">
              <color rgb="FF9B9B9B"/>
            </top>
            <bottom style="thin">
              <color rgb="FF9B9B9B"/>
            </bottom>
          </border>
        </dxf>
        <dxf>
          <font>
            <b val="0"/>
            <i val="0"/>
            <strike/>
            <sz val="11"/>
            <color rgb="FF9C9C9C"/>
            <name val="Century Gothic"/>
            <family val="2"/>
          </font>
          <fill>
            <patternFill>
              <bgColor theme="0"/>
            </patternFill>
          </fill>
          <border>
            <left style="thin">
              <color rgb="FF9B9B9B"/>
            </left>
            <right style="thin">
              <color rgb="FF9B9B9B"/>
            </right>
            <top style="thin">
              <color rgb="FF9B9B9B"/>
            </top>
            <bottom style="thin">
              <color rgb="FF9B9B9B"/>
            </bottom>
          </border>
        </dxf>
        <dxf>
          <font>
            <b val="0"/>
            <i val="0"/>
            <sz val="11"/>
            <color auto="1"/>
            <name val="Century Gothic"/>
            <family val="2"/>
            <scheme val="none"/>
          </font>
          <fill>
            <patternFill>
              <bgColor theme="0"/>
            </patternFill>
          </fill>
          <border>
            <left style="thin">
              <color rgb="FF9B9B9B"/>
            </left>
            <right style="thin">
              <color rgb="FF9B9B9B"/>
            </right>
            <top style="thin">
              <color rgb="FF9B9B9B"/>
            </top>
            <bottom style="thin">
              <color rgb="FF9B9B9B"/>
            </bottom>
          </border>
        </dxf>
      </x14:dxfs>
    </ext>
    <ext xmlns:x14="http://schemas.microsoft.com/office/spreadsheetml/2009/9/main" uri="{EB79DEF2-80B8-43e5-95BD-54CBDDF9020C}">
      <x14:slicerStyles defaultSlicerStyle="SlicerStyleLight1">
        <x14:slicerStyle name="Gridlin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015943919"/>
        <c:axId val="1015942479"/>
      </c:barChart>
      <c:catAx>
        <c:axId val="10159439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42479"/>
        <c:crosses val="autoZero"/>
        <c:auto val="1"/>
        <c:lblAlgn val="ctr"/>
        <c:lblOffset val="100"/>
        <c:noMultiLvlLbl val="0"/>
      </c:catAx>
      <c:valAx>
        <c:axId val="101594247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4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2</xdr:row>
      <xdr:rowOff>0</xdr:rowOff>
    </xdr:from>
    <xdr:to>
      <xdr:col>2</xdr:col>
      <xdr:colOff>4572</xdr:colOff>
      <xdr:row>15</xdr:row>
      <xdr:rowOff>0</xdr:rowOff>
    </xdr:to>
    <xdr:graphicFrame macro="">
      <xdr:nvGraphicFramePr>
        <xdr:cNvPr id="2" name="Chart 5">
          <a:extLst>
            <a:ext uri="{FF2B5EF4-FFF2-40B4-BE49-F238E27FC236}">
              <a16:creationId xmlns:a16="http://schemas.microsoft.com/office/drawing/2014/main" id="{7D0AF11C-54C4-42DE-858E-887DA526A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14375" cy="638210"/>
    <xdr:pic>
      <xdr:nvPicPr>
        <xdr:cNvPr id="2" name="Picture 1">
          <a:extLst>
            <a:ext uri="{FF2B5EF4-FFF2-40B4-BE49-F238E27FC236}">
              <a16:creationId xmlns:a16="http://schemas.microsoft.com/office/drawing/2014/main" id="{3E371F2E-E701-4245-BFA8-67BD90DDC6E9}"/>
            </a:ext>
          </a:extLst>
        </xdr:cNvPr>
        <xdr:cNvPicPr>
          <a:picLocks noChangeAspect="1"/>
        </xdr:cNvPicPr>
      </xdr:nvPicPr>
      <xdr:blipFill>
        <a:blip xmlns:r="http://schemas.openxmlformats.org/officeDocument/2006/relationships" r:embed="rId1"/>
        <a:stretch>
          <a:fillRect/>
        </a:stretch>
      </xdr:blipFill>
      <xdr:spPr>
        <a:xfrm>
          <a:off x="0" y="0"/>
          <a:ext cx="714375" cy="638210"/>
        </a:xfrm>
        <a:prstGeom prst="rect">
          <a:avLst/>
        </a:prstGeom>
      </xdr:spPr>
    </xdr:pic>
    <xdr:clientData/>
  </xdr:oneCellAnchor>
  <xdr:twoCellAnchor editAs="oneCell">
    <xdr:from>
      <xdr:col>8</xdr:col>
      <xdr:colOff>257175</xdr:colOff>
      <xdr:row>5</xdr:row>
      <xdr:rowOff>104775</xdr:rowOff>
    </xdr:from>
    <xdr:to>
      <xdr:col>10</xdr:col>
      <xdr:colOff>457200</xdr:colOff>
      <xdr:row>11</xdr:row>
      <xdr:rowOff>152400</xdr:rowOff>
    </xdr:to>
    <mc:AlternateContent xmlns:mc="http://schemas.openxmlformats.org/markup-compatibility/2006">
      <mc:Choice xmlns:a14="http://schemas.microsoft.com/office/drawing/2010/main" Requires="a14">
        <xdr:graphicFrame macro="">
          <xdr:nvGraphicFramePr>
            <xdr:cNvPr id="3" name="Vehicle ">
              <a:extLst>
                <a:ext uri="{FF2B5EF4-FFF2-40B4-BE49-F238E27FC236}">
                  <a16:creationId xmlns:a16="http://schemas.microsoft.com/office/drawing/2014/main" id="{0B7B867E-54FD-4075-B2C4-BD0215EBE391}"/>
                </a:ext>
              </a:extLst>
            </xdr:cNvPr>
            <xdr:cNvGraphicFramePr/>
          </xdr:nvGraphicFramePr>
          <xdr:xfrm>
            <a:off x="0" y="0"/>
            <a:ext cx="0" cy="0"/>
          </xdr:xfrm>
          <a:graphic>
            <a:graphicData uri="http://schemas.microsoft.com/office/drawing/2010/slicer">
              <sle:slicer xmlns:sle="http://schemas.microsoft.com/office/drawing/2010/slicer" name="Vehicle "/>
            </a:graphicData>
          </a:graphic>
        </xdr:graphicFrame>
      </mc:Choice>
      <mc:Fallback>
        <xdr:sp macro="" textlink="">
          <xdr:nvSpPr>
            <xdr:cNvPr id="0" name=""/>
            <xdr:cNvSpPr>
              <a:spLocks noTextEdit="1"/>
            </xdr:cNvSpPr>
          </xdr:nvSpPr>
          <xdr:spPr>
            <a:xfrm>
              <a:off x="8772525" y="1390650"/>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gridlinegps.sharepoint.com/sites/GridlineReportingATS/Shared%20Documents/General/Reporting/_Seed_File%20(20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Granados" refreshedDate="46011.594910763888" createdVersion="8" refreshedVersion="8" minRefreshableVersion="3" recordCount="12" xr:uid="{8A73EB70-54CF-4B61-9E05-57ABB6F0EDA1}">
  <cacheSource type="worksheet">
    <worksheetSource name="Sample_Table" r:id="rId2"/>
  </cacheSource>
  <cacheFields count="7">
    <cacheField name="Vehicle " numFmtId="0">
      <sharedItems count="3">
        <s v="Vehicle 1"/>
        <s v="Vehicle 2"/>
        <s v="Vehicle 3"/>
      </sharedItems>
    </cacheField>
    <cacheField name="Driver " numFmtId="0">
      <sharedItems count="3">
        <s v="Driver 1"/>
        <s v="Driver 2"/>
        <s v="Driver 3"/>
      </sharedItems>
    </cacheField>
    <cacheField name="Group " numFmtId="0">
      <sharedItems count="2">
        <s v="Phoenix"/>
        <s v="Tucson"/>
      </sharedItems>
    </cacheField>
    <cacheField name="Date " numFmtId="164">
      <sharedItems containsSemiMixedTypes="0" containsNonDate="0" containsDate="1" containsString="0" minDate="2017-01-01T00:00:00" maxDate="2017-01-05T00:00:00" count="4">
        <d v="2017-01-01T00:00:00"/>
        <d v="2017-01-02T00:00:00"/>
        <d v="2017-01-03T00:00:00"/>
        <d v="2017-01-04T00:00:00"/>
      </sharedItems>
    </cacheField>
    <cacheField name="Item 1 " numFmtId="0">
      <sharedItems containsSemiMixedTypes="0" containsString="0" containsNumber="1" containsInteger="1" minValue="0" maxValue="2"/>
    </cacheField>
    <cacheField name="Item 2 " numFmtId="0">
      <sharedItems containsSemiMixedTypes="0" containsString="0" containsNumber="1" containsInteger="1" minValue="0" maxValue="3"/>
    </cacheField>
    <cacheField name="Item 3 "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787060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n v="1"/>
    <n v="2"/>
    <n v="1"/>
  </r>
  <r>
    <x v="0"/>
    <x v="0"/>
    <x v="0"/>
    <x v="1"/>
    <n v="1"/>
    <n v="0"/>
    <n v="1"/>
  </r>
  <r>
    <x v="0"/>
    <x v="0"/>
    <x v="0"/>
    <x v="2"/>
    <n v="2"/>
    <n v="3"/>
    <n v="4"/>
  </r>
  <r>
    <x v="0"/>
    <x v="0"/>
    <x v="0"/>
    <x v="3"/>
    <n v="0"/>
    <n v="0"/>
    <n v="1"/>
  </r>
  <r>
    <x v="1"/>
    <x v="1"/>
    <x v="0"/>
    <x v="0"/>
    <n v="1"/>
    <n v="2"/>
    <n v="1"/>
  </r>
  <r>
    <x v="1"/>
    <x v="1"/>
    <x v="0"/>
    <x v="1"/>
    <n v="1"/>
    <n v="0"/>
    <n v="1"/>
  </r>
  <r>
    <x v="1"/>
    <x v="1"/>
    <x v="0"/>
    <x v="2"/>
    <n v="2"/>
    <n v="3"/>
    <n v="4"/>
  </r>
  <r>
    <x v="1"/>
    <x v="1"/>
    <x v="0"/>
    <x v="3"/>
    <n v="0"/>
    <n v="0"/>
    <n v="1"/>
  </r>
  <r>
    <x v="2"/>
    <x v="2"/>
    <x v="1"/>
    <x v="0"/>
    <n v="1"/>
    <n v="2"/>
    <n v="1"/>
  </r>
  <r>
    <x v="2"/>
    <x v="2"/>
    <x v="1"/>
    <x v="1"/>
    <n v="1"/>
    <n v="0"/>
    <n v="1"/>
  </r>
  <r>
    <x v="2"/>
    <x v="2"/>
    <x v="1"/>
    <x v="2"/>
    <n v="2"/>
    <n v="3"/>
    <n v="4"/>
  </r>
  <r>
    <x v="2"/>
    <x v="2"/>
    <x v="1"/>
    <x v="3"/>
    <n v="0"/>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B3033-73C3-40D5-ADE7-D0EC8D1FA32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0:H35" firstHeaderRow="0" firstDataRow="1" firstDataCol="4"/>
  <pivotFields count="7">
    <pivotField axis="axisRow" compact="0" outline="0" subtotalTop="0" showAll="0">
      <items count="4">
        <item x="0"/>
        <item x="1"/>
        <item h="1" x="2"/>
        <item t="default"/>
      </items>
    </pivotField>
    <pivotField axis="axisRow" compact="0" outline="0" subtotalTop="0" showAll="0">
      <items count="4">
        <item x="0"/>
        <item x="1"/>
        <item x="2"/>
        <item t="default"/>
      </items>
    </pivotField>
    <pivotField axis="axisRow" compact="0" outline="0" subtotalTop="0" showAll="0">
      <items count="3">
        <item x="0"/>
        <item x="1"/>
        <item t="default"/>
      </items>
    </pivotField>
    <pivotField axis="axisRow" compact="0" numFmtId="166" outline="0" subtotalTop="0" showAll="0">
      <items count="5">
        <item x="0"/>
        <item x="1"/>
        <item x="2"/>
        <item x="3"/>
        <item t="default"/>
      </items>
    </pivotField>
    <pivotField dataField="1" compact="0" outline="0" subtotalTop="0" showAll="0"/>
    <pivotField dataField="1" compact="0" outline="0" subtotalTop="0" showAll="0"/>
    <pivotField dataField="1" compact="0" outline="0" subtotalTop="0" showAll="0"/>
  </pivotFields>
  <rowFields count="4">
    <field x="0"/>
    <field x="1"/>
    <field x="2"/>
    <field x="3"/>
  </rowFields>
  <rowItems count="15">
    <i>
      <x/>
      <x/>
      <x/>
      <x/>
    </i>
    <i r="3">
      <x v="1"/>
    </i>
    <i r="3">
      <x v="2"/>
    </i>
    <i r="3">
      <x v="3"/>
    </i>
    <i t="default" r="2">
      <x/>
    </i>
    <i t="default" r="1">
      <x/>
    </i>
    <i t="default">
      <x/>
    </i>
    <i>
      <x v="1"/>
      <x v="1"/>
      <x/>
      <x/>
    </i>
    <i r="3">
      <x v="1"/>
    </i>
    <i r="3">
      <x v="2"/>
    </i>
    <i r="3">
      <x v="3"/>
    </i>
    <i t="default" r="2">
      <x/>
    </i>
    <i t="default" r="1">
      <x v="1"/>
    </i>
    <i t="default">
      <x v="1"/>
    </i>
    <i t="grand">
      <x/>
    </i>
  </rowItems>
  <colFields count="1">
    <field x="-2"/>
  </colFields>
  <colItems count="3">
    <i>
      <x/>
    </i>
    <i i="1">
      <x v="1"/>
    </i>
    <i i="2">
      <x v="2"/>
    </i>
  </colItems>
  <dataFields count="3">
    <dataField name="Sum of Item 1 " fld="4" baseField="0" baseItem="0"/>
    <dataField name="Sum of Item 2 " fld="5" baseField="0" baseItem="0"/>
    <dataField name="Sum of Item 3 " fld="6" baseField="0" baseItem="0"/>
  </dataFields>
  <formats count="6">
    <format dxfId="43">
      <pivotArea dataOnly="0" outline="0" fieldPosition="0">
        <references count="1">
          <reference field="4294967294" count="3">
            <x v="0"/>
            <x v="1"/>
            <x v="2"/>
          </reference>
        </references>
      </pivotArea>
    </format>
    <format dxfId="44">
      <pivotArea field="0" type="button" dataOnly="0" labelOnly="1" outline="0" axis="axisRow" fieldPosition="0"/>
    </format>
    <format dxfId="45">
      <pivotArea field="1" type="button" dataOnly="0" labelOnly="1" outline="0" axis="axisRow" fieldPosition="1"/>
    </format>
    <format dxfId="46">
      <pivotArea field="2" type="button" dataOnly="0" labelOnly="1" outline="0" axis="axisRow" fieldPosition="2"/>
    </format>
    <format dxfId="47">
      <pivotArea field="3" type="button" dataOnly="0" labelOnly="1" outline="0" axis="axisRow" fieldPosition="3"/>
    </format>
    <format dxfId="48">
      <pivotArea dataOnly="0" labelOnly="1" outline="0" fieldPosition="0">
        <references count="1">
          <reference field="4294967294" count="3">
            <x v="0"/>
            <x v="1"/>
            <x v="2"/>
          </reference>
        </references>
      </pivotArea>
    </format>
  </formats>
  <pivotTableStyleInfo name="Gridline Pivot"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 xr10:uid="{513C1F2C-9318-4DBF-85CE-6E7FF8C03817}" sourceName="Vehicle ">
  <pivotTables>
    <pivotTable tabId="6" name="PivotTable2"/>
  </pivotTables>
  <data>
    <tabular pivotCacheId="1787060531">
      <items count="3">
        <i x="0" s="1"/>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 xr10:uid="{3560376D-ACEB-43E3-9203-55BAEC1DD6A8}" cache="Slicer_Vehicle" caption="Vehicle " style="Gridline Slice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757DB4-A5D5-429D-8B93-209B297218B6}" name="Sample_Table" displayName="Sample_Table" ref="B6:H18">
  <autoFilter ref="B6:H18" xr:uid="{B88B2D8B-7FAA-4B85-A5F8-4DD8D4AA7C57}"/>
  <tableColumns count="7">
    <tableColumn id="7" xr3:uid="{1176C9F3-BE34-4147-8DEA-A1C4D38D3203}" name="Vehicle " totalsRowLabel="Total">
      <calculatedColumnFormula>SUBSTITUTE(Sample_Table[[#This Row],[Driver ]],"Driver", "Vehicle")</calculatedColumnFormula>
    </tableColumn>
    <tableColumn id="1" xr3:uid="{E16D5F23-A470-4340-8EA5-AF3D24B7941B}" name="Driver "/>
    <tableColumn id="2" xr3:uid="{76E8886D-4D42-43D9-987B-F0EBE969D3D2}" name="Group "/>
    <tableColumn id="3" xr3:uid="{65E87851-C5E5-4590-B7A5-DDECAE7983D0}" name="Date "/>
    <tableColumn id="4" xr3:uid="{31D9A39C-196C-4073-A62B-11DDE4C1A484}" name="Item 1 "/>
    <tableColumn id="5" xr3:uid="{EA7545F6-82DF-473E-A1D7-25D8CE8BBA80}" name="Item 2 "/>
    <tableColumn id="6" xr3:uid="{B387C999-717E-4A55-AE3F-BAE90BA5C276}" name="Item 3 " totalsRowFunction="sum"/>
  </tableColumns>
  <tableStyleInfo name="Gridlin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9FAE39-D1DA-4FF3-98F0-CE8429652A4E}" name="Table2" displayName="Table2" ref="A1:X20" totalsRowShown="0" headerRowDxfId="1" dataDxfId="0">
  <autoFilter ref="A1:X20" xr:uid="{AD9FAE39-D1DA-4FF3-98F0-CE8429652A4E}"/>
  <tableColumns count="24">
    <tableColumn id="1" xr3:uid="{969CC0D6-D7B4-4841-ACD0-3C540AB4A4B1}" name="editDateTime" dataDxfId="25"/>
    <tableColumn id="2" xr3:uid="{E06CE2AA-64AA-4D7C-AB59-6C074929EA89}" name="id" dataDxfId="24"/>
    <tableColumn id="3" xr3:uid="{43FAC8F3-7ECC-4021-A303-FD1A29A7460E}" name="location_location_x" dataDxfId="23"/>
    <tableColumn id="4" xr3:uid="{67C58885-FBB3-40A3-9E70-0737F01C4EBF}" name="location_location_y" dataDxfId="22"/>
    <tableColumn id="5" xr3:uid="{7EA6723D-C326-45D3-8EE7-B0163AB1130A}" name="status" dataDxfId="21"/>
    <tableColumn id="6" xr3:uid="{0CD99087-C7AF-4BF0-8B21-3762F02CD4F1}" name="origin" dataDxfId="20"/>
    <tableColumn id="7" xr3:uid="{5EB76DCF-044B-4163-8E03-1A912674ED54}" name="device_id" dataDxfId="19"/>
    <tableColumn id="8" xr3:uid="{83DA4187-AB96-4F38-B0E9-AFF4611452A2}" name="dateTime" dataDxfId="18"/>
    <tableColumn id="9" xr3:uid="{3CB31E1A-C102-4DB4-9A8A-1545697FA1FC}" name="driver_id" dataDxfId="17"/>
    <tableColumn id="10" xr3:uid="{20D2C9AB-1232-44B5-89EE-87C877AC1E38}" name="state" dataDxfId="16"/>
    <tableColumn id="11" xr3:uid="{851BC517-5F8B-4603-820C-69F859E41E10}" name="malfunction" dataDxfId="15"/>
    <tableColumn id="12" xr3:uid="{0386F710-8CAD-477B-BD8B-1E0A81D0FA35}" name="version" dataDxfId="14"/>
    <tableColumn id="13" xr3:uid="{3BA099C0-9C16-4CC6-AC78-A017769C0255}" name="sequence" dataDxfId="13"/>
    <tableColumn id="14" xr3:uid="{FFE357B8-75C6-40E3-B9B1-38D339338759}" name="odometer" dataDxfId="12"/>
    <tableColumn id="15" xr3:uid="{A4DC52B1-538A-4598-88BD-1339FF09489D}" name="engineHours" dataDxfId="11"/>
    <tableColumn id="16" xr3:uid="{13BF5B1F-3A9F-4D3F-9FA1-3EC4A9BF18A7}" name="eventRecordStatus" dataDxfId="10"/>
    <tableColumn id="17" xr3:uid="{8CFDF016-C76F-4A43-9BAF-0BE97928AEBE}" name="eventCode" dataDxfId="9"/>
    <tableColumn id="18" xr3:uid="{4060F267-FBB5-4220-8ACE-CEDAB3F3155E}" name="eventType" dataDxfId="8"/>
    <tableColumn id="19" xr3:uid="{4D01BFBE-346D-4C6E-9EFD-D6A287F53BC2}" name="distanceSinceValidCoordinates" dataDxfId="7"/>
    <tableColumn id="20" xr3:uid="{B5B7ACBA-5ED7-46EB-A1F1-444895D90150}" name="deferralStatus" dataDxfId="6"/>
    <tableColumn id="21" xr3:uid="{A0755703-FD3D-4037-AEB1-2ABB8CD960F0}" name="deferralMinutes" dataDxfId="5"/>
    <tableColumn id="22" xr3:uid="{1AB1505A-3B86-4F91-9B61-F1FD15ADC4A3}" name="isIgnored" dataDxfId="4"/>
    <tableColumn id="23" xr3:uid="{2E4BF0FA-D148-40A2-98D6-AF14B6BD6E51}" name="isTransitioning" dataDxfId="3"/>
    <tableColumn id="24" xr3:uid="{6922E655-8C92-4058-8273-976A019B20AC}" name="verifyDateTime" dataDxfId="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C2A518-892D-4327-848F-925849C40460}" name="Table1" displayName="Table1" ref="A1:O5" totalsRowShown="0" headerRowDxfId="27" dataDxfId="26">
  <autoFilter ref="A1:O5" xr:uid="{5BC2A518-892D-4327-848F-925849C40460}"/>
  <tableColumns count="15">
    <tableColumn id="1" xr3:uid="{8708782A-121C-44A3-AFFF-0933EDA748E0}" name="activeFrom" dataDxfId="42"/>
    <tableColumn id="2" xr3:uid="{715CE5FA-EEE1-4708-8E1F-664535AD78E1}" name="activeTo" dataDxfId="41"/>
    <tableColumn id="3" xr3:uid="{D5C7A8FF-94F4-41DF-A4D1-37759EF1A539}" name="distance" dataDxfId="40"/>
    <tableColumn id="4" xr3:uid="{F1C00F22-F236-4ECB-AEFB-F55174196151}" name="duration" dataDxfId="39"/>
    <tableColumn id="5" xr3:uid="{483102F4-7D33-4BC8-A2B6-7BDAF6B9200D}" name="rule_state" dataDxfId="38"/>
    <tableColumn id="6" xr3:uid="{D9F36489-5559-4462-8FA0-E5209AA2FD68}" name="rule_reason" dataDxfId="37"/>
    <tableColumn id="7" xr3:uid="{953ECCE8-20B2-49DA-B874-22284EF84815}" name="rule_id" dataDxfId="36"/>
    <tableColumn id="8" xr3:uid="{252D0735-68CC-4BDD-A2CB-A415203034F4}" name="device_id" dataDxfId="35"/>
    <tableColumn id="9" xr3:uid="{F968F9B3-6AEB-4A14-943B-57992A9371ED}" name="diagnostic" dataDxfId="34"/>
    <tableColumn id="10" xr3:uid="{151A3C4E-A121-4688-994C-9DB29FF9B338}" name="driver_id" dataDxfId="33"/>
    <tableColumn id="11" xr3:uid="{3DDD8FC0-DE3B-4F76-BF8B-AB02325B32CE}" name="state" dataDxfId="32"/>
    <tableColumn id="12" xr3:uid="{796A2D65-5F08-44C6-9107-7FADFD549C00}" name="lastModifiedDateTime" dataDxfId="31"/>
    <tableColumn id="13" xr3:uid="{6A4AABDD-751E-4050-A07D-F15BB43B4588}" name="createdDateTime" dataDxfId="30"/>
    <tableColumn id="14" xr3:uid="{B0073E77-C209-447B-95CA-4BD697311B3C}" name="version" dataDxfId="29"/>
    <tableColumn id="15" xr3:uid="{E7362A25-F28B-4670-8ADC-62D08E084D44}" name="id" dataDxfId="2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2D74-0928-4C35-A871-3D6AD396214E}">
  <dimension ref="A1:C25"/>
  <sheetViews>
    <sheetView showGridLines="0" tabSelected="1" topLeftCell="A2" workbookViewId="0">
      <selection activeCell="A2" sqref="A2"/>
    </sheetView>
  </sheetViews>
  <sheetFormatPr defaultRowHeight="17.25" customHeight="1"/>
  <cols>
    <col min="1" max="1" width="5.625" style="4" customWidth="1"/>
    <col min="2" max="2" width="37.5" style="3" customWidth="1"/>
    <col min="3" max="3" width="5.625" style="4" customWidth="1"/>
    <col min="4" max="16384" width="9" style="4"/>
  </cols>
  <sheetData>
    <row r="1" spans="2:2" s="2" customFormat="1" ht="13.5" hidden="1">
      <c r="B1" s="1"/>
    </row>
    <row r="2" spans="2:2" s="2" customFormat="1" ht="13.5">
      <c r="B2" s="1"/>
    </row>
    <row r="3" spans="2:2" ht="16.5"/>
    <row r="4" spans="2:2" s="6" customFormat="1" ht="33">
      <c r="B4" s="5" t="s">
        <v>174</v>
      </c>
    </row>
    <row r="5" spans="2:2" s="8" customFormat="1" ht="14.25">
      <c r="B5" s="7" t="s">
        <v>175</v>
      </c>
    </row>
    <row r="6" spans="2:2" ht="16.5">
      <c r="B6" s="9" t="s">
        <v>176</v>
      </c>
    </row>
    <row r="7" spans="2:2" ht="16.5">
      <c r="B7" s="10"/>
    </row>
    <row r="8" spans="2:2" ht="16.5">
      <c r="B8" s="11" t="s">
        <v>177</v>
      </c>
    </row>
    <row r="9" spans="2:2" ht="16.5">
      <c r="B9" s="12"/>
    </row>
    <row r="10" spans="2:2" s="14" customFormat="1" ht="15">
      <c r="B10" s="13" t="s">
        <v>178</v>
      </c>
    </row>
    <row r="11" spans="2:2" s="16" customFormat="1" ht="24">
      <c r="B11" s="15" t="s">
        <v>179</v>
      </c>
    </row>
    <row r="12" spans="2:2" ht="16.5">
      <c r="B12" s="17"/>
    </row>
    <row r="13" spans="2:2" s="8" customFormat="1" ht="14.25">
      <c r="B13" s="18" t="s">
        <v>180</v>
      </c>
    </row>
    <row r="25" spans="1:3" ht="17.25" customHeight="1">
      <c r="A25" s="3"/>
      <c r="C25"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8842-1B9C-484E-BCC0-97C1B5359F71}">
  <dimension ref="A1:I40"/>
  <sheetViews>
    <sheetView showGridLines="0" workbookViewId="0"/>
  </sheetViews>
  <sheetFormatPr defaultColWidth="7.625" defaultRowHeight="17.25" customHeight="1"/>
  <cols>
    <col min="1" max="1" width="9.375" style="4" customWidth="1"/>
    <col min="2" max="4" width="15.625" style="4" customWidth="1"/>
    <col min="5" max="5" width="11.625" style="4" bestFit="1" customWidth="1"/>
    <col min="6" max="8" width="14.625" style="4" bestFit="1" customWidth="1"/>
    <col min="9" max="9" width="5.75" style="4" customWidth="1"/>
    <col min="10" max="12" width="15.625" style="4" customWidth="1"/>
    <col min="13" max="13" width="11.625" style="4" bestFit="1" customWidth="1"/>
    <col min="14" max="16" width="14.5" style="4" customWidth="1"/>
    <col min="17" max="16384" width="7.625" style="4"/>
  </cols>
  <sheetData>
    <row r="1" spans="2:8" s="20" customFormat="1" ht="32.25">
      <c r="B1" s="19" t="s">
        <v>181</v>
      </c>
    </row>
    <row r="2" spans="2:8" ht="17.25" customHeight="1">
      <c r="B2" s="4" t="s">
        <v>182</v>
      </c>
    </row>
    <row r="4" spans="2:8" ht="17.25" customHeight="1">
      <c r="B4" s="21" t="s">
        <v>177</v>
      </c>
    </row>
    <row r="5" spans="2:8" ht="17.25" customHeight="1">
      <c r="B5" s="21"/>
    </row>
    <row r="6" spans="2:8" ht="17.25" customHeight="1">
      <c r="B6" s="22" t="s">
        <v>183</v>
      </c>
      <c r="C6" s="22" t="s">
        <v>184</v>
      </c>
      <c r="D6" s="22" t="s">
        <v>185</v>
      </c>
      <c r="E6" s="22" t="s">
        <v>186</v>
      </c>
      <c r="F6" s="23" t="s">
        <v>187</v>
      </c>
      <c r="G6" s="23" t="s">
        <v>188</v>
      </c>
      <c r="H6" s="23" t="s">
        <v>189</v>
      </c>
    </row>
    <row r="7" spans="2:8" ht="17.25" customHeight="1">
      <c r="B7" s="22" t="str">
        <f>SUBSTITUTE(Sample_Table[[#This Row],[Driver ]],"Driver", "Vehicle")</f>
        <v>Vehicle 1</v>
      </c>
      <c r="C7" s="22" t="s">
        <v>190</v>
      </c>
      <c r="D7" s="22" t="s">
        <v>191</v>
      </c>
      <c r="E7" s="24">
        <v>42736</v>
      </c>
      <c r="F7" s="23">
        <v>1</v>
      </c>
      <c r="G7" s="23">
        <v>2</v>
      </c>
      <c r="H7" s="23">
        <v>1</v>
      </c>
    </row>
    <row r="8" spans="2:8" ht="17.25" customHeight="1">
      <c r="B8" s="22" t="str">
        <f>SUBSTITUTE(Sample_Table[[#This Row],[Driver ]],"Driver", "Vehicle")</f>
        <v>Vehicle 1</v>
      </c>
      <c r="C8" s="22" t="s">
        <v>190</v>
      </c>
      <c r="D8" s="22" t="s">
        <v>191</v>
      </c>
      <c r="E8" s="24">
        <v>42737</v>
      </c>
      <c r="F8" s="23">
        <v>1</v>
      </c>
      <c r="G8" s="23">
        <v>0</v>
      </c>
      <c r="H8" s="23">
        <v>1</v>
      </c>
    </row>
    <row r="9" spans="2:8" ht="16.5">
      <c r="B9" s="22" t="str">
        <f>SUBSTITUTE(Sample_Table[[#This Row],[Driver ]],"Driver", "Vehicle")</f>
        <v>Vehicle 1</v>
      </c>
      <c r="C9" s="22" t="s">
        <v>190</v>
      </c>
      <c r="D9" s="22" t="s">
        <v>191</v>
      </c>
      <c r="E9" s="24">
        <v>42738</v>
      </c>
      <c r="F9" s="23">
        <v>2</v>
      </c>
      <c r="G9" s="23">
        <v>3</v>
      </c>
      <c r="H9" s="23">
        <v>4</v>
      </c>
    </row>
    <row r="10" spans="2:8" ht="17.25" customHeight="1">
      <c r="B10" s="22" t="str">
        <f>SUBSTITUTE(Sample_Table[[#This Row],[Driver ]],"Driver", "Vehicle")</f>
        <v>Vehicle 1</v>
      </c>
      <c r="C10" s="22" t="s">
        <v>190</v>
      </c>
      <c r="D10" s="22" t="s">
        <v>191</v>
      </c>
      <c r="E10" s="24">
        <v>42739</v>
      </c>
      <c r="F10" s="23">
        <v>0</v>
      </c>
      <c r="G10" s="23">
        <v>0</v>
      </c>
      <c r="H10" s="23">
        <v>1</v>
      </c>
    </row>
    <row r="11" spans="2:8" ht="17.25" customHeight="1">
      <c r="B11" s="22" t="str">
        <f>SUBSTITUTE(Sample_Table[[#This Row],[Driver ]],"Driver", "Vehicle")</f>
        <v>Vehicle 2</v>
      </c>
      <c r="C11" s="22" t="s">
        <v>192</v>
      </c>
      <c r="D11" s="22" t="s">
        <v>191</v>
      </c>
      <c r="E11" s="24">
        <v>42736</v>
      </c>
      <c r="F11" s="23">
        <v>1</v>
      </c>
      <c r="G11" s="23">
        <v>2</v>
      </c>
      <c r="H11" s="23">
        <v>1</v>
      </c>
    </row>
    <row r="12" spans="2:8" ht="17.25" customHeight="1">
      <c r="B12" s="22" t="str">
        <f>SUBSTITUTE(Sample_Table[[#This Row],[Driver ]],"Driver", "Vehicle")</f>
        <v>Vehicle 2</v>
      </c>
      <c r="C12" s="22" t="s">
        <v>192</v>
      </c>
      <c r="D12" s="22" t="s">
        <v>191</v>
      </c>
      <c r="E12" s="24">
        <v>42737</v>
      </c>
      <c r="F12" s="23">
        <v>1</v>
      </c>
      <c r="G12" s="23">
        <v>0</v>
      </c>
      <c r="H12" s="23">
        <v>1</v>
      </c>
    </row>
    <row r="13" spans="2:8" ht="17.25" customHeight="1">
      <c r="B13" s="22" t="str">
        <f>SUBSTITUTE(Sample_Table[[#This Row],[Driver ]],"Driver", "Vehicle")</f>
        <v>Vehicle 2</v>
      </c>
      <c r="C13" s="22" t="s">
        <v>192</v>
      </c>
      <c r="D13" s="22" t="s">
        <v>191</v>
      </c>
      <c r="E13" s="24">
        <v>42738</v>
      </c>
      <c r="F13" s="23">
        <v>2</v>
      </c>
      <c r="G13" s="23">
        <v>3</v>
      </c>
      <c r="H13" s="23">
        <v>4</v>
      </c>
    </row>
    <row r="14" spans="2:8" ht="17.25" customHeight="1">
      <c r="B14" s="22" t="str">
        <f>SUBSTITUTE(Sample_Table[[#This Row],[Driver ]],"Driver", "Vehicle")</f>
        <v>Vehicle 2</v>
      </c>
      <c r="C14" s="22" t="s">
        <v>192</v>
      </c>
      <c r="D14" s="22" t="s">
        <v>191</v>
      </c>
      <c r="E14" s="24">
        <v>42739</v>
      </c>
      <c r="F14" s="23">
        <v>0</v>
      </c>
      <c r="G14" s="23">
        <v>0</v>
      </c>
      <c r="H14" s="23">
        <v>1</v>
      </c>
    </row>
    <row r="15" spans="2:8" ht="17.25" customHeight="1">
      <c r="B15" s="22" t="str">
        <f>SUBSTITUTE(Sample_Table[[#This Row],[Driver ]],"Driver", "Vehicle")</f>
        <v>Vehicle 3</v>
      </c>
      <c r="C15" s="22" t="s">
        <v>193</v>
      </c>
      <c r="D15" s="22" t="s">
        <v>194</v>
      </c>
      <c r="E15" s="24">
        <v>42736</v>
      </c>
      <c r="F15" s="23">
        <v>1</v>
      </c>
      <c r="G15" s="23">
        <v>2</v>
      </c>
      <c r="H15" s="23">
        <v>1</v>
      </c>
    </row>
    <row r="16" spans="2:8" ht="17.25" customHeight="1">
      <c r="B16" s="22" t="str">
        <f>SUBSTITUTE(Sample_Table[[#This Row],[Driver ]],"Driver", "Vehicle")</f>
        <v>Vehicle 3</v>
      </c>
      <c r="C16" s="22" t="s">
        <v>193</v>
      </c>
      <c r="D16" s="22" t="s">
        <v>194</v>
      </c>
      <c r="E16" s="24">
        <v>42737</v>
      </c>
      <c r="F16" s="23">
        <v>1</v>
      </c>
      <c r="G16" s="23">
        <v>0</v>
      </c>
      <c r="H16" s="23">
        <v>1</v>
      </c>
    </row>
    <row r="17" spans="2:8" ht="17.25" customHeight="1">
      <c r="B17" s="22" t="str">
        <f>SUBSTITUTE(Sample_Table[[#This Row],[Driver ]],"Driver", "Vehicle")</f>
        <v>Vehicle 3</v>
      </c>
      <c r="C17" s="22" t="s">
        <v>193</v>
      </c>
      <c r="D17" s="22" t="s">
        <v>194</v>
      </c>
      <c r="E17" s="24">
        <v>42738</v>
      </c>
      <c r="F17" s="23">
        <v>2</v>
      </c>
      <c r="G17" s="23">
        <v>3</v>
      </c>
      <c r="H17" s="23">
        <v>4</v>
      </c>
    </row>
    <row r="18" spans="2:8" ht="17.25" customHeight="1">
      <c r="B18" s="22" t="str">
        <f>SUBSTITUTE(Sample_Table[[#This Row],[Driver ]],"Driver", "Vehicle")</f>
        <v>Vehicle 3</v>
      </c>
      <c r="C18" s="22" t="s">
        <v>193</v>
      </c>
      <c r="D18" s="22" t="s">
        <v>194</v>
      </c>
      <c r="E18" s="24">
        <v>42739</v>
      </c>
      <c r="F18" s="23">
        <v>0</v>
      </c>
      <c r="G18" s="23">
        <v>0</v>
      </c>
      <c r="H18" s="23">
        <v>1</v>
      </c>
    </row>
    <row r="20" spans="2:8" s="25" customFormat="1" ht="17.25" customHeight="1">
      <c r="B20" s="25" t="s">
        <v>183</v>
      </c>
      <c r="C20" s="25" t="s">
        <v>184</v>
      </c>
      <c r="D20" s="25" t="s">
        <v>185</v>
      </c>
      <c r="E20" s="25" t="s">
        <v>186</v>
      </c>
      <c r="F20" s="26" t="s">
        <v>195</v>
      </c>
      <c r="G20" s="26" t="s">
        <v>196</v>
      </c>
      <c r="H20" s="26" t="s">
        <v>197</v>
      </c>
    </row>
    <row r="21" spans="2:8" ht="17.25" customHeight="1">
      <c r="B21" s="4" t="s">
        <v>198</v>
      </c>
      <c r="C21" s="4" t="s">
        <v>190</v>
      </c>
      <c r="D21" s="4" t="s">
        <v>191</v>
      </c>
      <c r="E21" s="27">
        <v>42736</v>
      </c>
      <c r="F21" s="28">
        <v>1</v>
      </c>
      <c r="G21" s="28">
        <v>2</v>
      </c>
      <c r="H21" s="28">
        <v>1</v>
      </c>
    </row>
    <row r="22" spans="2:8" ht="16.5">
      <c r="E22" s="27">
        <v>42737</v>
      </c>
      <c r="F22" s="28">
        <v>1</v>
      </c>
      <c r="G22" s="28">
        <v>0</v>
      </c>
      <c r="H22" s="28">
        <v>1</v>
      </c>
    </row>
    <row r="23" spans="2:8" ht="17.25" customHeight="1">
      <c r="E23" s="27">
        <v>42738</v>
      </c>
      <c r="F23" s="28">
        <v>2</v>
      </c>
      <c r="G23" s="28">
        <v>3</v>
      </c>
      <c r="H23" s="28">
        <v>4</v>
      </c>
    </row>
    <row r="24" spans="2:8" ht="17.25" customHeight="1">
      <c r="E24" s="27">
        <v>42739</v>
      </c>
      <c r="F24" s="28">
        <v>0</v>
      </c>
      <c r="G24" s="28">
        <v>0</v>
      </c>
      <c r="H24" s="28">
        <v>1</v>
      </c>
    </row>
    <row r="25" spans="2:8" ht="17.25" customHeight="1">
      <c r="D25" s="4" t="s">
        <v>199</v>
      </c>
      <c r="F25" s="28">
        <v>4</v>
      </c>
      <c r="G25" s="28">
        <v>5</v>
      </c>
      <c r="H25" s="28">
        <v>7</v>
      </c>
    </row>
    <row r="26" spans="2:8" ht="17.25" customHeight="1">
      <c r="C26" s="4" t="s">
        <v>200</v>
      </c>
      <c r="F26" s="28">
        <v>4</v>
      </c>
      <c r="G26" s="28">
        <v>5</v>
      </c>
      <c r="H26" s="28">
        <v>7</v>
      </c>
    </row>
    <row r="27" spans="2:8" ht="17.25" customHeight="1">
      <c r="B27" s="4" t="s">
        <v>201</v>
      </c>
      <c r="F27" s="28">
        <v>4</v>
      </c>
      <c r="G27" s="28">
        <v>5</v>
      </c>
      <c r="H27" s="28">
        <v>7</v>
      </c>
    </row>
    <row r="28" spans="2:8" ht="17.25" customHeight="1">
      <c r="B28" s="4" t="s">
        <v>202</v>
      </c>
      <c r="C28" s="4" t="s">
        <v>192</v>
      </c>
      <c r="D28" s="4" t="s">
        <v>191</v>
      </c>
      <c r="E28" s="27">
        <v>42736</v>
      </c>
      <c r="F28" s="28">
        <v>1</v>
      </c>
      <c r="G28" s="28">
        <v>2</v>
      </c>
      <c r="H28" s="28">
        <v>1</v>
      </c>
    </row>
    <row r="29" spans="2:8" ht="17.25" customHeight="1">
      <c r="E29" s="27">
        <v>42737</v>
      </c>
      <c r="F29" s="28">
        <v>1</v>
      </c>
      <c r="G29" s="28">
        <v>0</v>
      </c>
      <c r="H29" s="28">
        <v>1</v>
      </c>
    </row>
    <row r="30" spans="2:8" ht="17.25" customHeight="1">
      <c r="E30" s="27">
        <v>42738</v>
      </c>
      <c r="F30" s="28">
        <v>2</v>
      </c>
      <c r="G30" s="28">
        <v>3</v>
      </c>
      <c r="H30" s="28">
        <v>4</v>
      </c>
    </row>
    <row r="31" spans="2:8" ht="17.25" customHeight="1">
      <c r="E31" s="27">
        <v>42739</v>
      </c>
      <c r="F31" s="28">
        <v>0</v>
      </c>
      <c r="G31" s="28">
        <v>0</v>
      </c>
      <c r="H31" s="28">
        <v>1</v>
      </c>
    </row>
    <row r="32" spans="2:8" ht="17.25" customHeight="1">
      <c r="D32" s="4" t="s">
        <v>199</v>
      </c>
      <c r="F32" s="28">
        <v>4</v>
      </c>
      <c r="G32" s="28">
        <v>5</v>
      </c>
      <c r="H32" s="28">
        <v>7</v>
      </c>
    </row>
    <row r="33" spans="1:9" ht="17.25" customHeight="1">
      <c r="C33" s="4" t="s">
        <v>203</v>
      </c>
      <c r="F33" s="28">
        <v>4</v>
      </c>
      <c r="G33" s="28">
        <v>5</v>
      </c>
      <c r="H33" s="28">
        <v>7</v>
      </c>
    </row>
    <row r="34" spans="1:9" ht="17.25" customHeight="1">
      <c r="B34" s="4" t="s">
        <v>204</v>
      </c>
      <c r="F34" s="28">
        <v>4</v>
      </c>
      <c r="G34" s="28">
        <v>5</v>
      </c>
      <c r="H34" s="28">
        <v>7</v>
      </c>
    </row>
    <row r="35" spans="1:9" ht="17.25" customHeight="1">
      <c r="B35" s="4" t="s">
        <v>205</v>
      </c>
      <c r="F35" s="28">
        <v>8</v>
      </c>
      <c r="G35" s="28">
        <v>10</v>
      </c>
      <c r="H35" s="28">
        <v>14</v>
      </c>
    </row>
    <row r="38" spans="1:9" ht="17.25" customHeight="1">
      <c r="A38" s="29"/>
      <c r="I38" s="29"/>
    </row>
    <row r="39" spans="1:9" ht="17.25" customHeight="1">
      <c r="A39" s="29"/>
      <c r="I39" s="29"/>
    </row>
    <row r="40" spans="1:9" ht="17.25" customHeight="1">
      <c r="A40" s="29"/>
      <c r="I40" s="29"/>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
  <sheetViews>
    <sheetView workbookViewId="0">
      <selection activeCell="B37" sqref="B37"/>
    </sheetView>
  </sheetViews>
  <sheetFormatPr defaultRowHeight="13.5"/>
  <cols>
    <col min="1" max="1" width="23" style="30" bestFit="1" customWidth="1"/>
    <col min="2" max="2" width="27.125" style="30" bestFit="1" customWidth="1"/>
    <col min="3" max="3" width="20" style="30" bestFit="1" customWidth="1"/>
    <col min="4" max="4" width="20.125" style="30" bestFit="1" customWidth="1"/>
    <col min="5" max="5" width="14.375" style="30" bestFit="1" customWidth="1"/>
    <col min="6" max="6" width="9.125" style="30" bestFit="1" customWidth="1"/>
    <col min="7" max="7" width="11" style="30" bestFit="1" customWidth="1"/>
    <col min="8" max="8" width="23" style="30" bestFit="1" customWidth="1"/>
    <col min="9" max="9" width="10.625" style="30" bestFit="1" customWidth="1"/>
    <col min="10" max="10" width="7.125" style="30" bestFit="1" customWidth="1"/>
    <col min="11" max="11" width="13.25" style="30" bestFit="1" customWidth="1"/>
    <col min="12" max="13" width="17.125" style="30" bestFit="1" customWidth="1"/>
    <col min="14" max="14" width="11.875" style="30" bestFit="1" customWidth="1"/>
    <col min="15" max="15" width="13.625" style="30" bestFit="1" customWidth="1"/>
    <col min="16" max="16" width="19.375" style="30" bestFit="1" customWidth="1"/>
    <col min="17" max="17" width="12" style="30" bestFit="1" customWidth="1"/>
    <col min="18" max="18" width="11.875" style="30" bestFit="1" customWidth="1"/>
    <col min="19" max="19" width="29.5" style="30" bestFit="1" customWidth="1"/>
    <col min="20" max="20" width="15.125" style="30" bestFit="1" customWidth="1"/>
    <col min="21" max="21" width="16.75" style="30" bestFit="1" customWidth="1"/>
    <col min="22" max="22" width="10.75" style="30" bestFit="1" customWidth="1"/>
    <col min="23" max="23" width="15.5" style="30" bestFit="1" customWidth="1"/>
    <col min="24" max="24" width="23" style="30" bestFit="1" customWidth="1"/>
    <col min="25" max="16384" width="9" style="30"/>
  </cols>
  <sheetData>
    <row r="1" spans="1:24">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c r="W1" s="30" t="s">
        <v>22</v>
      </c>
      <c r="X1" s="30" t="s">
        <v>23</v>
      </c>
    </row>
    <row r="2" spans="1:24">
      <c r="A2" s="30" t="s">
        <v>24</v>
      </c>
      <c r="B2" s="30" t="s">
        <v>25</v>
      </c>
      <c r="C2" s="30">
        <v>-112.07971999999999</v>
      </c>
      <c r="D2" s="30">
        <v>33.458331999999999</v>
      </c>
      <c r="E2" s="30" t="s">
        <v>26</v>
      </c>
      <c r="F2" s="30" t="s">
        <v>27</v>
      </c>
      <c r="G2" s="30" t="s">
        <v>28</v>
      </c>
      <c r="H2" s="30" t="s">
        <v>29</v>
      </c>
      <c r="I2" s="30" t="s">
        <v>30</v>
      </c>
      <c r="J2" s="30" t="s">
        <v>31</v>
      </c>
      <c r="K2" s="30" t="s">
        <v>32</v>
      </c>
      <c r="L2" s="30" t="s">
        <v>33</v>
      </c>
      <c r="M2" s="30" t="s">
        <v>34</v>
      </c>
      <c r="N2" s="30">
        <v>25505500</v>
      </c>
      <c r="O2" s="30">
        <v>2032920</v>
      </c>
      <c r="P2" s="30">
        <v>1</v>
      </c>
      <c r="Q2" s="30">
        <v>1</v>
      </c>
      <c r="R2" s="30">
        <v>5</v>
      </c>
      <c r="S2" s="30">
        <v>0</v>
      </c>
      <c r="T2" s="30" t="s">
        <v>32</v>
      </c>
      <c r="U2" s="30">
        <v>0</v>
      </c>
      <c r="V2" s="30" t="b">
        <v>0</v>
      </c>
      <c r="W2" s="30" t="b">
        <v>0</v>
      </c>
    </row>
    <row r="3" spans="1:24">
      <c r="A3" s="30" t="s">
        <v>35</v>
      </c>
      <c r="B3" s="30" t="s">
        <v>36</v>
      </c>
      <c r="C3" s="30">
        <v>-112.07971999999999</v>
      </c>
      <c r="D3" s="30">
        <v>33.458331999999999</v>
      </c>
      <c r="E3" s="30" t="s">
        <v>37</v>
      </c>
      <c r="F3" s="30" t="s">
        <v>27</v>
      </c>
      <c r="G3" s="30" t="s">
        <v>28</v>
      </c>
      <c r="H3" s="30" t="s">
        <v>38</v>
      </c>
      <c r="I3" s="30" t="s">
        <v>30</v>
      </c>
      <c r="J3" s="30" t="s">
        <v>31</v>
      </c>
      <c r="K3" s="30" t="s">
        <v>32</v>
      </c>
      <c r="L3" s="30" t="s">
        <v>39</v>
      </c>
      <c r="M3" s="30" t="s">
        <v>40</v>
      </c>
      <c r="N3" s="30">
        <v>25505500</v>
      </c>
      <c r="O3" s="30">
        <v>2032920</v>
      </c>
      <c r="P3" s="30">
        <v>1</v>
      </c>
      <c r="Q3" s="30">
        <v>2</v>
      </c>
      <c r="R3" s="30">
        <v>5</v>
      </c>
      <c r="S3" s="30">
        <v>0</v>
      </c>
      <c r="T3" s="30" t="s">
        <v>32</v>
      </c>
      <c r="U3" s="30">
        <v>0</v>
      </c>
      <c r="V3" s="30" t="b">
        <v>0</v>
      </c>
      <c r="W3" s="30" t="b">
        <v>0</v>
      </c>
    </row>
    <row r="4" spans="1:24">
      <c r="A4" s="30" t="s">
        <v>41</v>
      </c>
      <c r="B4" s="30" t="s">
        <v>42</v>
      </c>
      <c r="C4" s="30">
        <v>-112.030914</v>
      </c>
      <c r="D4" s="30">
        <v>33.596268000000002</v>
      </c>
      <c r="E4" s="30" t="s">
        <v>43</v>
      </c>
      <c r="F4" s="30" t="s">
        <v>44</v>
      </c>
      <c r="G4" s="30" t="s">
        <v>45</v>
      </c>
      <c r="H4" s="30" t="s">
        <v>46</v>
      </c>
      <c r="I4" s="30" t="s">
        <v>47</v>
      </c>
      <c r="J4" s="30" t="s">
        <v>31</v>
      </c>
      <c r="K4" s="30" t="s">
        <v>32</v>
      </c>
      <c r="L4" s="30" t="s">
        <v>48</v>
      </c>
      <c r="M4" s="30" t="s">
        <v>49</v>
      </c>
      <c r="N4" s="30">
        <v>63571378.730416022</v>
      </c>
      <c r="O4" s="30">
        <v>551250.304</v>
      </c>
      <c r="P4" s="30">
        <v>1</v>
      </c>
      <c r="Q4" s="30">
        <v>1</v>
      </c>
      <c r="R4" s="30">
        <v>6</v>
      </c>
      <c r="T4" s="30" t="s">
        <v>32</v>
      </c>
      <c r="U4" s="30">
        <v>0</v>
      </c>
      <c r="V4" s="30" t="b">
        <v>0</v>
      </c>
      <c r="W4" s="30" t="b">
        <v>0</v>
      </c>
    </row>
    <row r="5" spans="1:24">
      <c r="A5" s="30" t="s">
        <v>50</v>
      </c>
      <c r="B5" s="30" t="s">
        <v>51</v>
      </c>
      <c r="C5" s="30">
        <v>-111.92770400000001</v>
      </c>
      <c r="D5" s="30">
        <v>33.503300000000003</v>
      </c>
      <c r="E5" s="30" t="s">
        <v>52</v>
      </c>
      <c r="F5" s="30" t="s">
        <v>44</v>
      </c>
      <c r="G5" s="30" t="s">
        <v>45</v>
      </c>
      <c r="H5" s="30" t="s">
        <v>53</v>
      </c>
      <c r="I5" s="30" t="s">
        <v>47</v>
      </c>
      <c r="J5" s="30" t="s">
        <v>31</v>
      </c>
      <c r="K5" s="30" t="s">
        <v>32</v>
      </c>
      <c r="L5" s="30" t="s">
        <v>54</v>
      </c>
      <c r="M5" s="30" t="s">
        <v>55</v>
      </c>
      <c r="N5" s="30">
        <v>63593357.706978522</v>
      </c>
      <c r="O5" s="30">
        <v>552915.21399999992</v>
      </c>
      <c r="P5" s="30">
        <v>1</v>
      </c>
      <c r="Q5" s="30">
        <v>3</v>
      </c>
      <c r="R5" s="30">
        <v>6</v>
      </c>
      <c r="T5" s="30" t="s">
        <v>32</v>
      </c>
      <c r="U5" s="30">
        <v>0</v>
      </c>
      <c r="V5" s="30" t="b">
        <v>0</v>
      </c>
      <c r="W5" s="30" t="b">
        <v>0</v>
      </c>
    </row>
    <row r="6" spans="1:24">
      <c r="A6" s="30" t="s">
        <v>56</v>
      </c>
      <c r="B6" s="30" t="s">
        <v>57</v>
      </c>
      <c r="C6" s="30">
        <v>-111.92770400000001</v>
      </c>
      <c r="D6" s="30">
        <v>33.503300000000003</v>
      </c>
      <c r="E6" s="30" t="s">
        <v>58</v>
      </c>
      <c r="F6" s="30" t="s">
        <v>44</v>
      </c>
      <c r="G6" s="30" t="s">
        <v>45</v>
      </c>
      <c r="H6" s="30" t="s">
        <v>59</v>
      </c>
      <c r="I6" s="30" t="s">
        <v>47</v>
      </c>
      <c r="J6" s="30" t="s">
        <v>31</v>
      </c>
      <c r="K6" s="30" t="s">
        <v>32</v>
      </c>
      <c r="L6" s="30" t="s">
        <v>60</v>
      </c>
      <c r="N6" s="30">
        <v>63593357.70730076</v>
      </c>
      <c r="O6" s="30">
        <v>552911.78099999996</v>
      </c>
      <c r="P6" s="30">
        <v>1</v>
      </c>
      <c r="T6" s="30" t="s">
        <v>32</v>
      </c>
      <c r="U6" s="30">
        <v>0</v>
      </c>
      <c r="V6" s="30" t="b">
        <v>0</v>
      </c>
      <c r="W6" s="30" t="b">
        <v>0</v>
      </c>
    </row>
    <row r="7" spans="1:24">
      <c r="A7" s="30" t="s">
        <v>61</v>
      </c>
      <c r="B7" s="30" t="s">
        <v>62</v>
      </c>
      <c r="C7" s="30">
        <v>-111.92770400000001</v>
      </c>
      <c r="D7" s="30">
        <v>33.503300000000003</v>
      </c>
      <c r="E7" s="30" t="s">
        <v>43</v>
      </c>
      <c r="F7" s="30" t="s">
        <v>44</v>
      </c>
      <c r="G7" s="30" t="s">
        <v>45</v>
      </c>
      <c r="H7" s="30" t="s">
        <v>63</v>
      </c>
      <c r="I7" s="30" t="s">
        <v>47</v>
      </c>
      <c r="J7" s="30" t="s">
        <v>31</v>
      </c>
      <c r="K7" s="30" t="s">
        <v>32</v>
      </c>
      <c r="L7" s="30" t="s">
        <v>64</v>
      </c>
      <c r="M7" s="30" t="s">
        <v>65</v>
      </c>
      <c r="N7" s="30">
        <v>63593357.706978522</v>
      </c>
      <c r="O7" s="30">
        <v>552915.21399999992</v>
      </c>
      <c r="P7" s="30">
        <v>1</v>
      </c>
      <c r="Q7" s="30">
        <v>1</v>
      </c>
      <c r="R7" s="30">
        <v>6</v>
      </c>
      <c r="T7" s="30" t="s">
        <v>32</v>
      </c>
      <c r="U7" s="30">
        <v>0</v>
      </c>
      <c r="V7" s="30" t="b">
        <v>0</v>
      </c>
      <c r="W7" s="30" t="b">
        <v>0</v>
      </c>
    </row>
    <row r="8" spans="1:24">
      <c r="A8" s="30" t="s">
        <v>66</v>
      </c>
      <c r="B8" s="30" t="s">
        <v>67</v>
      </c>
      <c r="C8" s="30">
        <v>-112.030914</v>
      </c>
      <c r="D8" s="30">
        <v>33.596245000000003</v>
      </c>
      <c r="E8" s="30" t="s">
        <v>52</v>
      </c>
      <c r="F8" s="30" t="s">
        <v>44</v>
      </c>
      <c r="G8" s="30" t="s">
        <v>45</v>
      </c>
      <c r="H8" s="30" t="s">
        <v>68</v>
      </c>
      <c r="I8" s="30" t="s">
        <v>47</v>
      </c>
      <c r="J8" s="30" t="s">
        <v>31</v>
      </c>
      <c r="K8" s="30" t="s">
        <v>32</v>
      </c>
      <c r="L8" s="30" t="s">
        <v>69</v>
      </c>
      <c r="M8" s="30" t="s">
        <v>70</v>
      </c>
      <c r="N8" s="30">
        <v>63617400.701119147</v>
      </c>
      <c r="O8" s="30">
        <v>554975.21299999987</v>
      </c>
      <c r="P8" s="30">
        <v>1</v>
      </c>
      <c r="Q8" s="30">
        <v>3</v>
      </c>
      <c r="R8" s="30">
        <v>6</v>
      </c>
      <c r="T8" s="30" t="s">
        <v>32</v>
      </c>
      <c r="U8" s="30">
        <v>0</v>
      </c>
      <c r="V8" s="30" t="b">
        <v>0</v>
      </c>
      <c r="W8" s="30" t="b">
        <v>0</v>
      </c>
    </row>
    <row r="9" spans="1:24">
      <c r="A9" s="30" t="s">
        <v>71</v>
      </c>
      <c r="B9" s="30" t="s">
        <v>72</v>
      </c>
      <c r="C9" s="30">
        <v>-112.030914</v>
      </c>
      <c r="D9" s="30">
        <v>33.596245000000003</v>
      </c>
      <c r="E9" s="30" t="s">
        <v>58</v>
      </c>
      <c r="F9" s="30" t="s">
        <v>44</v>
      </c>
      <c r="G9" s="30" t="s">
        <v>45</v>
      </c>
      <c r="H9" s="30" t="s">
        <v>73</v>
      </c>
      <c r="I9" s="30" t="s">
        <v>47</v>
      </c>
      <c r="J9" s="30" t="s">
        <v>31</v>
      </c>
      <c r="K9" s="30" t="s">
        <v>32</v>
      </c>
      <c r="L9" s="30" t="s">
        <v>74</v>
      </c>
      <c r="N9" s="30">
        <v>63617400.701119147</v>
      </c>
      <c r="O9" s="30">
        <v>554975.21299999987</v>
      </c>
      <c r="P9" s="30">
        <v>1</v>
      </c>
      <c r="T9" s="30" t="s">
        <v>32</v>
      </c>
      <c r="U9" s="30">
        <v>0</v>
      </c>
      <c r="V9" s="30" t="b">
        <v>0</v>
      </c>
      <c r="W9" s="30" t="b">
        <v>0</v>
      </c>
    </row>
    <row r="10" spans="1:24">
      <c r="A10" s="30" t="s">
        <v>75</v>
      </c>
      <c r="B10" s="30" t="s">
        <v>76</v>
      </c>
      <c r="C10" s="30">
        <v>-112.030914</v>
      </c>
      <c r="D10" s="30">
        <v>33.596268000000002</v>
      </c>
      <c r="E10" s="30" t="s">
        <v>77</v>
      </c>
      <c r="F10" s="30" t="s">
        <v>44</v>
      </c>
      <c r="G10" s="30" t="s">
        <v>45</v>
      </c>
      <c r="H10" s="30" t="s">
        <v>78</v>
      </c>
      <c r="I10" s="30" t="s">
        <v>47</v>
      </c>
      <c r="J10" s="30" t="s">
        <v>31</v>
      </c>
      <c r="K10" s="30" t="s">
        <v>32</v>
      </c>
      <c r="L10" s="30" t="s">
        <v>79</v>
      </c>
      <c r="M10" s="30" t="s">
        <v>80</v>
      </c>
      <c r="N10" s="30">
        <v>63571378.730416022</v>
      </c>
      <c r="O10" s="30">
        <v>551264.39399999997</v>
      </c>
      <c r="P10" s="30">
        <v>1</v>
      </c>
      <c r="Q10" s="30">
        <v>3</v>
      </c>
      <c r="R10" s="30">
        <v>1</v>
      </c>
      <c r="T10" s="30" t="s">
        <v>32</v>
      </c>
      <c r="U10" s="30">
        <v>0</v>
      </c>
      <c r="V10" s="30" t="b">
        <v>0</v>
      </c>
      <c r="W10" s="30" t="b">
        <v>0</v>
      </c>
      <c r="X10" s="30" t="s">
        <v>81</v>
      </c>
    </row>
    <row r="11" spans="1:24">
      <c r="A11" s="30" t="s">
        <v>82</v>
      </c>
      <c r="B11" s="30" t="s">
        <v>83</v>
      </c>
      <c r="C11" s="30">
        <v>-111.92770400000001</v>
      </c>
      <c r="D11" s="30">
        <v>33.503300000000003</v>
      </c>
      <c r="E11" s="30" t="s">
        <v>84</v>
      </c>
      <c r="F11" s="30" t="s">
        <v>44</v>
      </c>
      <c r="G11" s="30" t="s">
        <v>45</v>
      </c>
      <c r="H11" s="30" t="s">
        <v>85</v>
      </c>
      <c r="I11" s="30" t="s">
        <v>47</v>
      </c>
      <c r="J11" s="30" t="s">
        <v>31</v>
      </c>
      <c r="K11" s="30" t="s">
        <v>32</v>
      </c>
      <c r="L11" s="30" t="s">
        <v>86</v>
      </c>
      <c r="M11" s="30" t="s">
        <v>87</v>
      </c>
      <c r="N11" s="30">
        <v>63593357.706978522</v>
      </c>
      <c r="O11" s="30">
        <v>552915.21399999992</v>
      </c>
      <c r="P11" s="30">
        <v>1</v>
      </c>
      <c r="Q11" s="30">
        <v>4</v>
      </c>
      <c r="R11" s="30">
        <v>1</v>
      </c>
      <c r="T11" s="30" t="s">
        <v>32</v>
      </c>
      <c r="U11" s="30">
        <v>0</v>
      </c>
      <c r="V11" s="30" t="b">
        <v>0</v>
      </c>
      <c r="W11" s="30" t="b">
        <v>0</v>
      </c>
      <c r="X11" s="30" t="s">
        <v>81</v>
      </c>
    </row>
    <row r="12" spans="1:24">
      <c r="A12" s="30" t="s">
        <v>88</v>
      </c>
      <c r="B12" s="30" t="s">
        <v>89</v>
      </c>
      <c r="C12" s="30">
        <v>-111.92770400000001</v>
      </c>
      <c r="D12" s="30">
        <v>33.503300000000003</v>
      </c>
      <c r="E12" s="30" t="s">
        <v>77</v>
      </c>
      <c r="F12" s="30" t="s">
        <v>44</v>
      </c>
      <c r="G12" s="30" t="s">
        <v>45</v>
      </c>
      <c r="H12" s="30" t="s">
        <v>90</v>
      </c>
      <c r="I12" s="30" t="s">
        <v>47</v>
      </c>
      <c r="J12" s="30" t="s">
        <v>31</v>
      </c>
      <c r="K12" s="30" t="s">
        <v>32</v>
      </c>
      <c r="L12" s="30" t="s">
        <v>91</v>
      </c>
      <c r="M12" s="30" t="s">
        <v>92</v>
      </c>
      <c r="N12" s="30">
        <v>63593357.706978522</v>
      </c>
      <c r="O12" s="30">
        <v>552920.8899999999</v>
      </c>
      <c r="P12" s="30">
        <v>1</v>
      </c>
      <c r="Q12" s="30">
        <v>3</v>
      </c>
      <c r="R12" s="30">
        <v>1</v>
      </c>
      <c r="T12" s="30" t="s">
        <v>32</v>
      </c>
      <c r="U12" s="30">
        <v>0</v>
      </c>
      <c r="V12" s="30" t="b">
        <v>0</v>
      </c>
      <c r="W12" s="30" t="b">
        <v>0</v>
      </c>
      <c r="X12" s="30" t="s">
        <v>81</v>
      </c>
    </row>
    <row r="13" spans="1:24">
      <c r="A13" s="30" t="s">
        <v>93</v>
      </c>
      <c r="B13" s="30" t="s">
        <v>94</v>
      </c>
      <c r="C13" s="30">
        <v>-112.030914</v>
      </c>
      <c r="D13" s="30">
        <v>33.596245000000003</v>
      </c>
      <c r="E13" s="30" t="s">
        <v>84</v>
      </c>
      <c r="F13" s="30" t="s">
        <v>44</v>
      </c>
      <c r="G13" s="30" t="s">
        <v>45</v>
      </c>
      <c r="H13" s="30" t="s">
        <v>95</v>
      </c>
      <c r="I13" s="30" t="s">
        <v>47</v>
      </c>
      <c r="J13" s="30" t="s">
        <v>31</v>
      </c>
      <c r="K13" s="30" t="s">
        <v>32</v>
      </c>
      <c r="L13" s="30" t="s">
        <v>96</v>
      </c>
      <c r="M13" s="30" t="s">
        <v>97</v>
      </c>
      <c r="N13" s="30">
        <v>63617400.701119147</v>
      </c>
      <c r="O13" s="30">
        <v>554975.21299999987</v>
      </c>
      <c r="P13" s="30">
        <v>1</v>
      </c>
      <c r="Q13" s="30">
        <v>4</v>
      </c>
      <c r="R13" s="30">
        <v>1</v>
      </c>
      <c r="T13" s="30" t="s">
        <v>32</v>
      </c>
      <c r="U13" s="30">
        <v>0</v>
      </c>
      <c r="V13" s="30" t="b">
        <v>0</v>
      </c>
      <c r="W13" s="30" t="b">
        <v>0</v>
      </c>
      <c r="X13" s="30" t="s">
        <v>81</v>
      </c>
    </row>
    <row r="14" spans="1:24">
      <c r="A14" s="30" t="s">
        <v>98</v>
      </c>
      <c r="B14" s="30" t="s">
        <v>99</v>
      </c>
      <c r="C14" s="30">
        <v>-112.030914</v>
      </c>
      <c r="D14" s="30">
        <v>33.596245000000003</v>
      </c>
      <c r="E14" s="30" t="s">
        <v>100</v>
      </c>
      <c r="F14" s="30" t="s">
        <v>27</v>
      </c>
      <c r="G14" s="30" t="s">
        <v>45</v>
      </c>
      <c r="H14" s="30" t="s">
        <v>101</v>
      </c>
      <c r="I14" s="30" t="s">
        <v>47</v>
      </c>
      <c r="J14" s="30" t="s">
        <v>31</v>
      </c>
      <c r="K14" s="30" t="s">
        <v>32</v>
      </c>
      <c r="L14" s="30" t="s">
        <v>102</v>
      </c>
      <c r="M14" s="30" t="s">
        <v>103</v>
      </c>
      <c r="N14" s="30">
        <v>63617400.701119147</v>
      </c>
      <c r="O14" s="30">
        <v>555094.76500000001</v>
      </c>
      <c r="P14" s="30">
        <v>1</v>
      </c>
      <c r="R14" s="30">
        <v>4</v>
      </c>
      <c r="T14" s="30" t="s">
        <v>32</v>
      </c>
      <c r="U14" s="30">
        <v>0</v>
      </c>
      <c r="V14" s="30" t="b">
        <v>0</v>
      </c>
      <c r="W14" s="30" t="b">
        <v>0</v>
      </c>
      <c r="X14" s="30" t="s">
        <v>104</v>
      </c>
    </row>
    <row r="15" spans="1:24">
      <c r="A15" s="30" t="s">
        <v>105</v>
      </c>
      <c r="B15" s="30" t="s">
        <v>106</v>
      </c>
      <c r="C15" s="30">
        <v>-112.030914</v>
      </c>
      <c r="D15" s="30">
        <v>33.596245000000003</v>
      </c>
      <c r="E15" s="30" t="s">
        <v>100</v>
      </c>
      <c r="F15" s="30" t="s">
        <v>27</v>
      </c>
      <c r="G15" s="30" t="s">
        <v>45</v>
      </c>
      <c r="H15" s="30" t="s">
        <v>81</v>
      </c>
      <c r="I15" s="30" t="s">
        <v>47</v>
      </c>
      <c r="J15" s="30" t="s">
        <v>31</v>
      </c>
      <c r="K15" s="30" t="s">
        <v>32</v>
      </c>
      <c r="L15" s="30" t="s">
        <v>107</v>
      </c>
      <c r="M15" s="30" t="s">
        <v>108</v>
      </c>
      <c r="N15" s="30">
        <v>63617400.701119147</v>
      </c>
      <c r="O15" s="30">
        <v>555094.76500000001</v>
      </c>
      <c r="P15" s="30">
        <v>1</v>
      </c>
      <c r="R15" s="30">
        <v>4</v>
      </c>
      <c r="T15" s="30" t="s">
        <v>32</v>
      </c>
      <c r="U15" s="30">
        <v>0</v>
      </c>
      <c r="V15" s="30" t="b">
        <v>0</v>
      </c>
      <c r="W15" s="30" t="b">
        <v>0</v>
      </c>
      <c r="X15" s="30" t="s">
        <v>109</v>
      </c>
    </row>
    <row r="16" spans="1:24">
      <c r="A16" s="30" t="s">
        <v>110</v>
      </c>
      <c r="B16" s="30" t="s">
        <v>111</v>
      </c>
      <c r="C16" s="30">
        <v>-112.030914</v>
      </c>
      <c r="D16" s="30">
        <v>33.596245000000003</v>
      </c>
      <c r="E16" s="30" t="s">
        <v>100</v>
      </c>
      <c r="F16" s="30" t="s">
        <v>27</v>
      </c>
      <c r="G16" s="30" t="s">
        <v>45</v>
      </c>
      <c r="H16" s="30" t="s">
        <v>110</v>
      </c>
      <c r="I16" s="30" t="s">
        <v>47</v>
      </c>
      <c r="J16" s="30" t="s">
        <v>31</v>
      </c>
      <c r="K16" s="30" t="s">
        <v>32</v>
      </c>
      <c r="L16" s="30" t="s">
        <v>112</v>
      </c>
      <c r="M16" s="30" t="s">
        <v>113</v>
      </c>
      <c r="N16" s="30">
        <v>63617400.701119147</v>
      </c>
      <c r="O16" s="30">
        <v>555094.76500000001</v>
      </c>
      <c r="P16" s="30">
        <v>1</v>
      </c>
      <c r="R16" s="30">
        <v>4</v>
      </c>
      <c r="T16" s="30" t="s">
        <v>32</v>
      </c>
      <c r="U16" s="30">
        <v>0</v>
      </c>
      <c r="V16" s="30" t="b">
        <v>0</v>
      </c>
      <c r="W16" s="30" t="b">
        <v>0</v>
      </c>
      <c r="X16" s="30" t="s">
        <v>114</v>
      </c>
    </row>
    <row r="17" spans="1:24">
      <c r="A17" s="30" t="s">
        <v>110</v>
      </c>
      <c r="B17" s="30" t="s">
        <v>115</v>
      </c>
      <c r="C17" s="30">
        <v>-112.030914</v>
      </c>
      <c r="D17" s="30">
        <v>33.596245000000003</v>
      </c>
      <c r="E17" s="30" t="s">
        <v>100</v>
      </c>
      <c r="F17" s="30" t="s">
        <v>27</v>
      </c>
      <c r="G17" s="30" t="s">
        <v>45</v>
      </c>
      <c r="H17" s="30" t="s">
        <v>110</v>
      </c>
      <c r="I17" s="30" t="s">
        <v>47</v>
      </c>
      <c r="J17" s="30" t="s">
        <v>31</v>
      </c>
      <c r="K17" s="30" t="s">
        <v>32</v>
      </c>
      <c r="L17" s="30" t="s">
        <v>116</v>
      </c>
      <c r="M17" s="30" t="s">
        <v>117</v>
      </c>
      <c r="N17" s="30">
        <v>63617400.701119147</v>
      </c>
      <c r="O17" s="30">
        <v>555094.76500000001</v>
      </c>
      <c r="P17" s="30">
        <v>1</v>
      </c>
      <c r="R17" s="30">
        <v>4</v>
      </c>
      <c r="T17" s="30" t="s">
        <v>32</v>
      </c>
      <c r="U17" s="30">
        <v>0</v>
      </c>
      <c r="V17" s="30" t="b">
        <v>0</v>
      </c>
      <c r="W17" s="30" t="b">
        <v>0</v>
      </c>
      <c r="X17" s="30" t="s">
        <v>118</v>
      </c>
    </row>
    <row r="18" spans="1:24">
      <c r="A18" s="30" t="s">
        <v>110</v>
      </c>
      <c r="B18" s="30" t="s">
        <v>119</v>
      </c>
      <c r="C18" s="30">
        <v>-112.030914</v>
      </c>
      <c r="D18" s="30">
        <v>33.596245000000003</v>
      </c>
      <c r="E18" s="30" t="s">
        <v>100</v>
      </c>
      <c r="F18" s="30" t="s">
        <v>27</v>
      </c>
      <c r="G18" s="30" t="s">
        <v>45</v>
      </c>
      <c r="H18" s="30" t="s">
        <v>110</v>
      </c>
      <c r="I18" s="30" t="s">
        <v>47</v>
      </c>
      <c r="J18" s="30" t="s">
        <v>31</v>
      </c>
      <c r="K18" s="30" t="s">
        <v>32</v>
      </c>
      <c r="L18" s="30" t="s">
        <v>120</v>
      </c>
      <c r="M18" s="30" t="s">
        <v>121</v>
      </c>
      <c r="N18" s="30">
        <v>63617400.701119147</v>
      </c>
      <c r="O18" s="30">
        <v>555094.76500000001</v>
      </c>
      <c r="P18" s="30">
        <v>1</v>
      </c>
      <c r="R18" s="30">
        <v>4</v>
      </c>
      <c r="T18" s="30" t="s">
        <v>32</v>
      </c>
      <c r="U18" s="30">
        <v>0</v>
      </c>
      <c r="V18" s="30" t="b">
        <v>0</v>
      </c>
      <c r="W18" s="30" t="b">
        <v>0</v>
      </c>
      <c r="X18" s="30" t="s">
        <v>122</v>
      </c>
    </row>
    <row r="19" spans="1:24">
      <c r="A19" s="30" t="s">
        <v>110</v>
      </c>
      <c r="B19" s="30" t="s">
        <v>123</v>
      </c>
      <c r="C19" s="30">
        <v>-112.030914</v>
      </c>
      <c r="D19" s="30">
        <v>33.596245000000003</v>
      </c>
      <c r="E19" s="30" t="s">
        <v>100</v>
      </c>
      <c r="F19" s="30" t="s">
        <v>27</v>
      </c>
      <c r="G19" s="30" t="s">
        <v>45</v>
      </c>
      <c r="H19" s="30" t="s">
        <v>110</v>
      </c>
      <c r="I19" s="30" t="s">
        <v>47</v>
      </c>
      <c r="J19" s="30" t="s">
        <v>31</v>
      </c>
      <c r="K19" s="30" t="s">
        <v>32</v>
      </c>
      <c r="L19" s="30" t="s">
        <v>124</v>
      </c>
      <c r="M19" s="30" t="s">
        <v>125</v>
      </c>
      <c r="N19" s="30">
        <v>63617400.701119147</v>
      </c>
      <c r="O19" s="30">
        <v>555094.76500000001</v>
      </c>
      <c r="P19" s="30">
        <v>1</v>
      </c>
      <c r="R19" s="30">
        <v>4</v>
      </c>
      <c r="T19" s="30" t="s">
        <v>32</v>
      </c>
      <c r="U19" s="30">
        <v>0</v>
      </c>
      <c r="V19" s="30" t="b">
        <v>0</v>
      </c>
      <c r="W19" s="30" t="b">
        <v>0</v>
      </c>
      <c r="X19" s="30" t="s">
        <v>126</v>
      </c>
    </row>
    <row r="20" spans="1:24">
      <c r="A20" s="30" t="s">
        <v>110</v>
      </c>
      <c r="B20" s="30" t="s">
        <v>127</v>
      </c>
      <c r="C20" s="30">
        <v>-112.030914</v>
      </c>
      <c r="D20" s="30">
        <v>33.596245000000003</v>
      </c>
      <c r="E20" s="30" t="s">
        <v>100</v>
      </c>
      <c r="F20" s="30" t="s">
        <v>27</v>
      </c>
      <c r="G20" s="30" t="s">
        <v>45</v>
      </c>
      <c r="H20" s="30" t="s">
        <v>110</v>
      </c>
      <c r="I20" s="30" t="s">
        <v>47</v>
      </c>
      <c r="J20" s="30" t="s">
        <v>31</v>
      </c>
      <c r="K20" s="30" t="s">
        <v>32</v>
      </c>
      <c r="L20" s="30" t="s">
        <v>128</v>
      </c>
      <c r="M20" s="30" t="s">
        <v>129</v>
      </c>
      <c r="N20" s="30">
        <v>63617400.701119147</v>
      </c>
      <c r="O20" s="30">
        <v>555094.76500000001</v>
      </c>
      <c r="P20" s="30">
        <v>1</v>
      </c>
      <c r="R20" s="30">
        <v>4</v>
      </c>
      <c r="T20" s="30" t="s">
        <v>32</v>
      </c>
      <c r="U20" s="30">
        <v>0</v>
      </c>
      <c r="V20" s="30" t="b">
        <v>0</v>
      </c>
      <c r="W20" s="30" t="b">
        <v>0</v>
      </c>
      <c r="X20" s="30" t="s">
        <v>130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
  <sheetViews>
    <sheetView workbookViewId="0"/>
  </sheetViews>
  <sheetFormatPr defaultRowHeight="13.5"/>
  <cols>
    <col min="1" max="2" width="17.375" style="30" bestFit="1" customWidth="1"/>
    <col min="3" max="3" width="8.625" style="30" bestFit="1" customWidth="1"/>
    <col min="4" max="4" width="11.75" style="30" bestFit="1" customWidth="1"/>
    <col min="5" max="5" width="20.125" style="30" bestFit="1" customWidth="1"/>
    <col min="6" max="6" width="20.75" style="30" bestFit="1" customWidth="1"/>
    <col min="7" max="7" width="20.25" style="30" bestFit="1" customWidth="1"/>
    <col min="8" max="8" width="9.5" style="30" bestFit="1" customWidth="1"/>
    <col min="9" max="9" width="11.125" style="30" bestFit="1" customWidth="1"/>
    <col min="10" max="10" width="8.75" style="30" bestFit="1" customWidth="1"/>
    <col min="11" max="11" width="20.25" style="30" bestFit="1" customWidth="1"/>
    <col min="12" max="13" width="17.375" style="30" bestFit="1" customWidth="1"/>
    <col min="14" max="14" width="14.125" style="30" bestFit="1" customWidth="1"/>
    <col min="15" max="15" width="21.875" style="30" bestFit="1" customWidth="1"/>
    <col min="16" max="16384" width="9" style="30"/>
  </cols>
  <sheetData>
    <row r="1" spans="1:15">
      <c r="A1" s="30" t="s">
        <v>131</v>
      </c>
      <c r="B1" s="30" t="s">
        <v>132</v>
      </c>
      <c r="C1" s="30" t="s">
        <v>133</v>
      </c>
      <c r="D1" s="30" t="s">
        <v>134</v>
      </c>
      <c r="E1" s="30" t="s">
        <v>135</v>
      </c>
      <c r="F1" s="30" t="s">
        <v>136</v>
      </c>
      <c r="G1" s="30" t="s">
        <v>137</v>
      </c>
      <c r="H1" s="30" t="s">
        <v>6</v>
      </c>
      <c r="I1" s="30" t="s">
        <v>138</v>
      </c>
      <c r="J1" s="30" t="s">
        <v>8</v>
      </c>
      <c r="K1" s="30" t="s">
        <v>9</v>
      </c>
      <c r="L1" s="30" t="s">
        <v>139</v>
      </c>
      <c r="M1" s="30" t="s">
        <v>140</v>
      </c>
      <c r="N1" s="30" t="s">
        <v>11</v>
      </c>
      <c r="O1" s="30" t="s">
        <v>1</v>
      </c>
    </row>
    <row r="2" spans="1:15">
      <c r="A2" s="30" t="s">
        <v>141</v>
      </c>
      <c r="B2" s="30" t="s">
        <v>142</v>
      </c>
      <c r="C2" s="30">
        <v>1.0778597999999999</v>
      </c>
      <c r="D2" s="30" t="s">
        <v>143</v>
      </c>
      <c r="E2" s="30" t="s">
        <v>144</v>
      </c>
      <c r="F2" s="30" t="s">
        <v>145</v>
      </c>
      <c r="G2" s="30" t="s">
        <v>146</v>
      </c>
      <c r="H2" s="30" t="s">
        <v>45</v>
      </c>
      <c r="I2" s="30" t="s">
        <v>147</v>
      </c>
      <c r="J2" s="30" t="s">
        <v>47</v>
      </c>
      <c r="K2" s="30" t="s">
        <v>148</v>
      </c>
      <c r="L2" s="30" t="s">
        <v>149</v>
      </c>
      <c r="M2" s="30" t="s">
        <v>150</v>
      </c>
      <c r="N2" s="30" t="s">
        <v>151</v>
      </c>
      <c r="O2" s="30" t="s">
        <v>152</v>
      </c>
    </row>
    <row r="3" spans="1:15">
      <c r="A3" s="30" t="s">
        <v>153</v>
      </c>
      <c r="B3" s="30" t="s">
        <v>154</v>
      </c>
      <c r="C3" s="30">
        <v>0.89420604999999997</v>
      </c>
      <c r="D3" s="30" t="s">
        <v>155</v>
      </c>
      <c r="E3" s="30" t="s">
        <v>144</v>
      </c>
      <c r="F3" s="30" t="s">
        <v>145</v>
      </c>
      <c r="G3" s="30" t="s">
        <v>146</v>
      </c>
      <c r="H3" s="30" t="s">
        <v>45</v>
      </c>
      <c r="I3" s="30" t="s">
        <v>147</v>
      </c>
      <c r="J3" s="30" t="s">
        <v>47</v>
      </c>
      <c r="K3" s="30" t="s">
        <v>148</v>
      </c>
      <c r="L3" s="30" t="s">
        <v>156</v>
      </c>
      <c r="M3" s="30" t="s">
        <v>157</v>
      </c>
      <c r="N3" s="30" t="s">
        <v>158</v>
      </c>
      <c r="O3" s="30" t="s">
        <v>159</v>
      </c>
    </row>
    <row r="4" spans="1:15">
      <c r="A4" s="30" t="s">
        <v>160</v>
      </c>
      <c r="B4" s="30" t="s">
        <v>161</v>
      </c>
      <c r="C4" s="30">
        <v>2.101477</v>
      </c>
      <c r="D4" s="30" t="s">
        <v>162</v>
      </c>
      <c r="E4" s="30" t="s">
        <v>144</v>
      </c>
      <c r="F4" s="30" t="s">
        <v>145</v>
      </c>
      <c r="G4" s="30" t="s">
        <v>146</v>
      </c>
      <c r="H4" s="30" t="s">
        <v>45</v>
      </c>
      <c r="I4" s="30" t="s">
        <v>147</v>
      </c>
      <c r="J4" s="30" t="s">
        <v>47</v>
      </c>
      <c r="K4" s="30" t="s">
        <v>148</v>
      </c>
      <c r="L4" s="30" t="s">
        <v>163</v>
      </c>
      <c r="M4" s="30" t="s">
        <v>164</v>
      </c>
      <c r="N4" s="30" t="s">
        <v>165</v>
      </c>
      <c r="O4" s="30" t="s">
        <v>166</v>
      </c>
    </row>
    <row r="5" spans="1:15">
      <c r="A5" s="30" t="s">
        <v>167</v>
      </c>
      <c r="B5" s="30" t="s">
        <v>168</v>
      </c>
      <c r="C5" s="30">
        <v>0.49845805999999998</v>
      </c>
      <c r="D5" s="30" t="s">
        <v>169</v>
      </c>
      <c r="E5" s="30" t="s">
        <v>144</v>
      </c>
      <c r="F5" s="30" t="s">
        <v>145</v>
      </c>
      <c r="G5" s="30" t="s">
        <v>146</v>
      </c>
      <c r="H5" s="30" t="s">
        <v>45</v>
      </c>
      <c r="I5" s="30" t="s">
        <v>147</v>
      </c>
      <c r="J5" s="30" t="s">
        <v>47</v>
      </c>
      <c r="K5" s="30" t="s">
        <v>148</v>
      </c>
      <c r="L5" s="30" t="s">
        <v>170</v>
      </c>
      <c r="M5" s="30" t="s">
        <v>171</v>
      </c>
      <c r="N5" s="30" t="s">
        <v>172</v>
      </c>
      <c r="O5" s="30" t="s">
        <v>173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26797FA7AD894C9BB2CA4BA29CF318" ma:contentTypeVersion="15" ma:contentTypeDescription="Create a new document." ma:contentTypeScope="" ma:versionID="05046908ded27c17ad524be9197c689c">
  <xsd:schema xmlns:xsd="http://www.w3.org/2001/XMLSchema" xmlns:xs="http://www.w3.org/2001/XMLSchema" xmlns:p="http://schemas.microsoft.com/office/2006/metadata/properties" xmlns:ns2="17e77857-832a-4a46-99a9-7bda6b8af9fa" xmlns:ns3="a8f131da-e57f-4406-a3b7-d8d8dfca0a12" targetNamespace="http://schemas.microsoft.com/office/2006/metadata/properties" ma:root="true" ma:fieldsID="1d0fca20906d041485b828500c73a53d" ns2:_="" ns3:_="">
    <xsd:import namespace="17e77857-832a-4a46-99a9-7bda6b8af9fa"/>
    <xsd:import namespace="a8f131da-e57f-4406-a3b7-d8d8dfca0a1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e77857-832a-4a46-99a9-7bda6b8af9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fa098d9-73f5-47ed-ac81-cd4d85c32f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8f131da-e57f-4406-a3b7-d8d8dfca0a1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5019a1-1070-47cd-a0b6-20f6b7f2a0e0}" ma:internalName="TaxCatchAll" ma:showField="CatchAllData" ma:web="a8f131da-e57f-4406-a3b7-d8d8dfca0a1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e77857-832a-4a46-99a9-7bda6b8af9fa">
      <Terms xmlns="http://schemas.microsoft.com/office/infopath/2007/PartnerControls"/>
    </lcf76f155ced4ddcb4097134ff3c332f>
    <TaxCatchAll xmlns="a8f131da-e57f-4406-a3b7-d8d8dfca0a12" xsi:nil="true"/>
  </documentManagement>
</p:properties>
</file>

<file path=customXml/itemProps1.xml><?xml version="1.0" encoding="utf-8"?>
<ds:datastoreItem xmlns:ds="http://schemas.openxmlformats.org/officeDocument/2006/customXml" ds:itemID="{08D6C061-3FE8-45C9-94B7-0D71D635E989}"/>
</file>

<file path=customXml/itemProps2.xml><?xml version="1.0" encoding="utf-8"?>
<ds:datastoreItem xmlns:ds="http://schemas.openxmlformats.org/officeDocument/2006/customXml" ds:itemID="{27D29A41-E134-415C-AC7D-248AF191C09B}"/>
</file>

<file path=customXml/itemProps3.xml><?xml version="1.0" encoding="utf-8"?>
<ds:datastoreItem xmlns:ds="http://schemas.openxmlformats.org/officeDocument/2006/customXml" ds:itemID="{B39B864C-15B8-4F7E-BA2D-8A7BC1FB25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Notification</vt:lpstr>
      <vt:lpstr>Summary</vt:lpstr>
      <vt:lpstr>Data1</vt:lpstr>
      <vt:lpstr>Data2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Granados</cp:lastModifiedBy>
  <dcterms:created xsi:type="dcterms:W3CDTF">2026-05-20T15:53:32Z</dcterms:created>
  <dcterms:modified xsi:type="dcterms:W3CDTF">2026-05-20T16:05:39Z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0x010100F326797FA7AD894C9BB2CA4BA29CF318</vt:lpwstr>
  </property>
</Properties>
</file>